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hilchurchman-my.sharepoint.com/personal/phil_philchurchman_com/Documents/Dev/moving_impact/swap_station_location/"/>
    </mc:Choice>
  </mc:AlternateContent>
  <xr:revisionPtr revIDLastSave="142" documentId="8_{F2941179-3A48-4AF6-9EA2-5F3517C734E5}" xr6:coauthVersionLast="47" xr6:coauthVersionMax="47" xr10:uidLastSave="{51AF5D4E-CBBB-4A79-8131-BC41D8940F93}"/>
  <bookViews>
    <workbookView xWindow="-103" yWindow="-103" windowWidth="33120" windowHeight="18000" activeTab="6" xr2:uid="{FE04D4A1-3EBF-4C4A-BF99-0D2913FA2A8B}"/>
  </bookViews>
  <sheets>
    <sheet name="p-median_greedy" sheetId="1" r:id="rId1"/>
    <sheet name="p-median_SA" sheetId="2" r:id="rId2"/>
    <sheet name="k-means" sheetId="3" r:id="rId3"/>
    <sheet name="TABU" sheetId="7" r:id="rId4"/>
    <sheet name="Genetic" sheetId="8" r:id="rId5"/>
    <sheet name="Particle" sheetId="9" r:id="rId6"/>
    <sheet name="Average distance" sheetId="4" r:id="rId7"/>
    <sheet name="Max distance" sheetId="10" r:id="rId8"/>
    <sheet name="Time" sheetId="1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1" l="1"/>
  <c r="D3" i="11"/>
  <c r="C2" i="11"/>
  <c r="D2" i="11"/>
  <c r="G2" i="11"/>
  <c r="F2" i="11"/>
  <c r="E2" i="11"/>
  <c r="B2" i="11"/>
  <c r="B3" i="10"/>
  <c r="C3" i="10"/>
  <c r="D3" i="10"/>
  <c r="E3" i="10"/>
  <c r="F3" i="10"/>
  <c r="G3" i="10"/>
  <c r="B4" i="10"/>
  <c r="C4" i="10"/>
  <c r="D4" i="10"/>
  <c r="E4" i="10"/>
  <c r="F4" i="10"/>
  <c r="G4" i="10"/>
  <c r="B5" i="10"/>
  <c r="C5" i="10"/>
  <c r="D5" i="10"/>
  <c r="E5" i="10"/>
  <c r="F5" i="10"/>
  <c r="G5" i="10"/>
  <c r="B6" i="10"/>
  <c r="C6" i="10"/>
  <c r="D6" i="10"/>
  <c r="E6" i="10"/>
  <c r="F6" i="10"/>
  <c r="G6" i="10"/>
  <c r="B7" i="10"/>
  <c r="C7" i="10"/>
  <c r="D7" i="10"/>
  <c r="E7" i="10"/>
  <c r="F7" i="10"/>
  <c r="G7" i="10"/>
  <c r="B8" i="10"/>
  <c r="C8" i="10"/>
  <c r="D8" i="10"/>
  <c r="E8" i="10"/>
  <c r="F8" i="10"/>
  <c r="G8" i="10"/>
  <c r="B9" i="10"/>
  <c r="C9" i="10"/>
  <c r="D9" i="10"/>
  <c r="E9" i="10"/>
  <c r="F9" i="10"/>
  <c r="G9" i="10"/>
  <c r="B10" i="10"/>
  <c r="C10" i="10"/>
  <c r="D10" i="10"/>
  <c r="E10" i="10"/>
  <c r="F10" i="10"/>
  <c r="G10" i="10"/>
  <c r="B11" i="10"/>
  <c r="C11" i="10"/>
  <c r="D11" i="10"/>
  <c r="E11" i="10"/>
  <c r="F11" i="10"/>
  <c r="G11" i="10"/>
  <c r="B12" i="10"/>
  <c r="C12" i="10"/>
  <c r="D12" i="10"/>
  <c r="E12" i="10"/>
  <c r="F12" i="10"/>
  <c r="G12" i="10"/>
  <c r="B13" i="10"/>
  <c r="C13" i="10"/>
  <c r="D13" i="10"/>
  <c r="E13" i="10"/>
  <c r="F13" i="10"/>
  <c r="G13" i="10"/>
  <c r="B14" i="10"/>
  <c r="C14" i="10"/>
  <c r="D14" i="10"/>
  <c r="E14" i="10"/>
  <c r="F14" i="10"/>
  <c r="G14" i="10"/>
  <c r="B15" i="10"/>
  <c r="C15" i="10"/>
  <c r="D15" i="10"/>
  <c r="E15" i="10"/>
  <c r="F15" i="10"/>
  <c r="G15" i="10"/>
  <c r="B16" i="10"/>
  <c r="C16" i="10"/>
  <c r="D16" i="10"/>
  <c r="E16" i="10"/>
  <c r="F16" i="10"/>
  <c r="G16" i="10"/>
  <c r="B17" i="10"/>
  <c r="C17" i="10"/>
  <c r="D17" i="10"/>
  <c r="E17" i="10"/>
  <c r="F17" i="10"/>
  <c r="G17" i="10"/>
  <c r="B18" i="10"/>
  <c r="C18" i="10"/>
  <c r="D18" i="10"/>
  <c r="E18" i="10"/>
  <c r="F18" i="10"/>
  <c r="G18" i="10"/>
  <c r="B19" i="10"/>
  <c r="C19" i="10"/>
  <c r="D19" i="10"/>
  <c r="E19" i="10"/>
  <c r="F19" i="10"/>
  <c r="G19" i="10"/>
  <c r="B20" i="10"/>
  <c r="C20" i="10"/>
  <c r="D20" i="10"/>
  <c r="E20" i="10"/>
  <c r="F20" i="10"/>
  <c r="G20" i="10"/>
  <c r="B21" i="10"/>
  <c r="C21" i="10"/>
  <c r="D21" i="10"/>
  <c r="E21" i="10"/>
  <c r="F21" i="10"/>
  <c r="G21" i="10"/>
  <c r="G2" i="10"/>
  <c r="F2" i="10"/>
  <c r="E2" i="10"/>
  <c r="D2" i="10"/>
  <c r="C2" i="10"/>
  <c r="B2" i="10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" i="4"/>
  <c r="B3" i="4" l="1"/>
  <c r="C3" i="4"/>
  <c r="D3" i="4"/>
  <c r="B4" i="4"/>
  <c r="C4" i="4"/>
  <c r="D4" i="4"/>
  <c r="B5" i="4"/>
  <c r="C5" i="4"/>
  <c r="D5" i="4"/>
  <c r="B6" i="4"/>
  <c r="C6" i="4"/>
  <c r="D6" i="4"/>
  <c r="B7" i="4"/>
  <c r="C7" i="4"/>
  <c r="D7" i="4"/>
  <c r="B8" i="4"/>
  <c r="C8" i="4"/>
  <c r="D8" i="4"/>
  <c r="B9" i="4"/>
  <c r="C9" i="4"/>
  <c r="D9" i="4"/>
  <c r="B10" i="4"/>
  <c r="C10" i="4"/>
  <c r="D10" i="4"/>
  <c r="B11" i="4"/>
  <c r="C11" i="4"/>
  <c r="D11" i="4"/>
  <c r="B12" i="4"/>
  <c r="C12" i="4"/>
  <c r="D12" i="4"/>
  <c r="B13" i="4"/>
  <c r="C13" i="4"/>
  <c r="D13" i="4"/>
  <c r="B14" i="4"/>
  <c r="C14" i="4"/>
  <c r="D14" i="4"/>
  <c r="B15" i="4"/>
  <c r="C15" i="4"/>
  <c r="D15" i="4"/>
  <c r="B16" i="4"/>
  <c r="C16" i="4"/>
  <c r="D16" i="4"/>
  <c r="B17" i="4"/>
  <c r="C17" i="4"/>
  <c r="D17" i="4"/>
  <c r="B18" i="4"/>
  <c r="C18" i="4"/>
  <c r="D18" i="4"/>
  <c r="B19" i="4"/>
  <c r="C19" i="4"/>
  <c r="D19" i="4"/>
  <c r="B20" i="4"/>
  <c r="C20" i="4"/>
  <c r="D20" i="4"/>
  <c r="B21" i="4"/>
  <c r="C21" i="4"/>
  <c r="D21" i="4"/>
  <c r="D2" i="4"/>
  <c r="C2" i="4"/>
  <c r="B2" i="4"/>
</calcChain>
</file>

<file path=xl/sharedStrings.xml><?xml version="1.0" encoding="utf-8"?>
<sst xmlns="http://schemas.openxmlformats.org/spreadsheetml/2006/main" count="46" uniqueCount="15">
  <si>
    <t>num_facilities</t>
  </si>
  <si>
    <t>average_route_distance_m</t>
  </si>
  <si>
    <t>max_route_distance_m</t>
  </si>
  <si>
    <t>average_distance_m</t>
  </si>
  <si>
    <t>max_distance_m</t>
  </si>
  <si>
    <t>Number of swap stations</t>
  </si>
  <si>
    <t>k-means</t>
  </si>
  <si>
    <t>p-median greedy</t>
  </si>
  <si>
    <t>p-median SA</t>
  </si>
  <si>
    <t>p-median TABU</t>
  </si>
  <si>
    <t>p-median genetic</t>
  </si>
  <si>
    <t>p-median particle swarm</t>
  </si>
  <si>
    <t>total_time_seconds</t>
  </si>
  <si>
    <t>Time (secs)</t>
  </si>
  <si>
    <t>Time (hours)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</si>
</sst>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Average route distance from taxi ranks to nearest swap station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'Average distance'!$B$1</c:f>
              <c:strCache>
                <c:ptCount val="1"/>
                <c:pt idx="0">
                  <c:v>k-means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'Average distance'!$B$2:$B$21</c:f>
              <c:numCache>
                <c:formatCode>_-* #,##0_-;\-* #,##0_-;_-* "-"??_-;_-@_-</c:formatCode>
                <c:ptCount val="20"/>
                <c:pt idx="0">
                  <c:v>7941.7544881486901</c:v>
                </c:pt>
                <c:pt idx="1">
                  <c:v>5383.3061368777298</c:v>
                </c:pt>
                <c:pt idx="2">
                  <c:v>3995.6662982847902</c:v>
                </c:pt>
                <c:pt idx="3">
                  <c:v>3704.19230370894</c:v>
                </c:pt>
                <c:pt idx="4">
                  <c:v>3386.7574485397899</c:v>
                </c:pt>
                <c:pt idx="5">
                  <c:v>2914.9350422666998</c:v>
                </c:pt>
                <c:pt idx="6">
                  <c:v>2285.3928619559301</c:v>
                </c:pt>
                <c:pt idx="7">
                  <c:v>2389.1732156190601</c:v>
                </c:pt>
                <c:pt idx="8">
                  <c:v>2316.61559689047</c:v>
                </c:pt>
                <c:pt idx="9">
                  <c:v>1830.8688450350101</c:v>
                </c:pt>
                <c:pt idx="10">
                  <c:v>1847.4890867066799</c:v>
                </c:pt>
                <c:pt idx="11">
                  <c:v>1654.7300836545301</c:v>
                </c:pt>
                <c:pt idx="12">
                  <c:v>1607.7641987195</c:v>
                </c:pt>
                <c:pt idx="13">
                  <c:v>1663.0949042791599</c:v>
                </c:pt>
                <c:pt idx="14">
                  <c:v>1559.7260332220301</c:v>
                </c:pt>
                <c:pt idx="15">
                  <c:v>1524.9545540942199</c:v>
                </c:pt>
                <c:pt idx="16">
                  <c:v>1484.42740336764</c:v>
                </c:pt>
                <c:pt idx="17">
                  <c:v>1450.11590258301</c:v>
                </c:pt>
                <c:pt idx="18">
                  <c:v>1345.8396004460501</c:v>
                </c:pt>
                <c:pt idx="19">
                  <c:v>1284.6544807110299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46-4541-9B09-5F17B4F28293}"/>
            </c:ext>
          </c:extLst>
        </c:ser>
        <c:ser>
          <c:idx val="2"/>
          <c:order val="2"/>
          <c:tx>
            <c:strRef>
              <c:f>'Average distance'!$C$1</c:f>
              <c:strCache>
                <c:ptCount val="1"/>
                <c:pt idx="0">
                  <c:v>p-median greedy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'Average distance'!$C$2:$C$21</c:f>
              <c:numCache>
                <c:formatCode>_-* #,##0_-;\-* #,##0_-;_-* "-"??_-;_-@_-</c:formatCode>
                <c:ptCount val="20"/>
                <c:pt idx="0">
                  <c:v>7582.17171087521</c:v>
                </c:pt>
                <c:pt idx="1">
                  <c:v>4891.5400765428103</c:v>
                </c:pt>
                <c:pt idx="2">
                  <c:v>3540.8317097448098</c:v>
                </c:pt>
                <c:pt idx="3">
                  <c:v>3045.13956254703</c:v>
                </c:pt>
                <c:pt idx="4">
                  <c:v>2650.8140738147299</c:v>
                </c:pt>
                <c:pt idx="5">
                  <c:v>2413.5486946942301</c:v>
                </c:pt>
                <c:pt idx="6">
                  <c:v>2063.0870325624001</c:v>
                </c:pt>
                <c:pt idx="7">
                  <c:v>1861.0372899318199</c:v>
                </c:pt>
                <c:pt idx="8">
                  <c:v>1651.35794074194</c:v>
                </c:pt>
                <c:pt idx="9">
                  <c:v>1478.03725525862</c:v>
                </c:pt>
                <c:pt idx="10">
                  <c:v>1378.68955804297</c:v>
                </c:pt>
                <c:pt idx="11">
                  <c:v>1309.1538379664601</c:v>
                </c:pt>
                <c:pt idx="12">
                  <c:v>1220.4751458057499</c:v>
                </c:pt>
                <c:pt idx="13">
                  <c:v>1150.25285699292</c:v>
                </c:pt>
                <c:pt idx="14">
                  <c:v>1073.1030118638901</c:v>
                </c:pt>
                <c:pt idx="15">
                  <c:v>1018.26748272253</c:v>
                </c:pt>
                <c:pt idx="16">
                  <c:v>968.37325014933901</c:v>
                </c:pt>
                <c:pt idx="17">
                  <c:v>923.73803381002597</c:v>
                </c:pt>
                <c:pt idx="18">
                  <c:v>877.92336120385596</c:v>
                </c:pt>
                <c:pt idx="19">
                  <c:v>835.15703334429497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46-4541-9B09-5F17B4F28293}"/>
            </c:ext>
          </c:extLst>
        </c:ser>
        <c:ser>
          <c:idx val="3"/>
          <c:order val="3"/>
          <c:tx>
            <c:strRef>
              <c:f>'Average distance'!$D$1</c:f>
              <c:strCache>
                <c:ptCount val="1"/>
                <c:pt idx="0">
                  <c:v>p-median SA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'Average distance'!$D$2:$D$21</c:f>
              <c:numCache>
                <c:formatCode>_-* #,##0_-;\-* #,##0_-;_-* "-"??_-;_-@_-</c:formatCode>
                <c:ptCount val="20"/>
                <c:pt idx="0">
                  <c:v>7582.17171087521</c:v>
                </c:pt>
                <c:pt idx="1">
                  <c:v>4891.5400765428103</c:v>
                </c:pt>
                <c:pt idx="2">
                  <c:v>3540.8317097448098</c:v>
                </c:pt>
                <c:pt idx="3">
                  <c:v>3045.13956254703</c:v>
                </c:pt>
                <c:pt idx="4">
                  <c:v>2650.8140738147299</c:v>
                </c:pt>
                <c:pt idx="5">
                  <c:v>2318.98733357334</c:v>
                </c:pt>
                <c:pt idx="6">
                  <c:v>2063.0870325624001</c:v>
                </c:pt>
                <c:pt idx="7">
                  <c:v>1861.0372899318199</c:v>
                </c:pt>
                <c:pt idx="8">
                  <c:v>1651.35794074194</c:v>
                </c:pt>
                <c:pt idx="9">
                  <c:v>1478.03725525862</c:v>
                </c:pt>
                <c:pt idx="10">
                  <c:v>1378.16098846706</c:v>
                </c:pt>
                <c:pt idx="11">
                  <c:v>1291.31349425842</c:v>
                </c:pt>
                <c:pt idx="12">
                  <c:v>1220.99190637632</c:v>
                </c:pt>
                <c:pt idx="13">
                  <c:v>1142.6597930698099</c:v>
                </c:pt>
                <c:pt idx="14">
                  <c:v>1091.4120302901199</c:v>
                </c:pt>
                <c:pt idx="15">
                  <c:v>1020.45702247183</c:v>
                </c:pt>
                <c:pt idx="16">
                  <c:v>981.47943857683595</c:v>
                </c:pt>
                <c:pt idx="17">
                  <c:v>923.84863467012497</c:v>
                </c:pt>
                <c:pt idx="18">
                  <c:v>878.83129505440604</c:v>
                </c:pt>
                <c:pt idx="19">
                  <c:v>831.63200541142203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046-4541-9B09-5F17B4F28293}"/>
            </c:ext>
          </c:extLst>
        </c:ser>
        <c:ser>
          <c:idx val="4"/>
          <c:order val="4"/>
          <c:tx>
            <c:strRef>
              <c:f>'Average distance'!$E$1</c:f>
              <c:strCache>
                <c:ptCount val="1"/>
                <c:pt idx="0">
                  <c:v>p-median TABU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'Average distance'!$E$2:$E$21</c:f>
              <c:numCache>
                <c:formatCode>_-* #,##0_-;\-* #,##0_-;_-* "-"??_-;_-@_-</c:formatCode>
                <c:ptCount val="20"/>
                <c:pt idx="0">
                  <c:v>7583.6218703419099</c:v>
                </c:pt>
                <c:pt idx="1">
                  <c:v>4924.2680647308598</c:v>
                </c:pt>
                <c:pt idx="2">
                  <c:v>3628.9981278161099</c:v>
                </c:pt>
                <c:pt idx="3">
                  <c:v>3088.8527953664902</c:v>
                </c:pt>
                <c:pt idx="4">
                  <c:v>2761.2010760654898</c:v>
                </c:pt>
                <c:pt idx="5">
                  <c:v>2449.8953472468802</c:v>
                </c:pt>
                <c:pt idx="6">
                  <c:v>2197.5953376696698</c:v>
                </c:pt>
                <c:pt idx="7">
                  <c:v>2037.28261065275</c:v>
                </c:pt>
                <c:pt idx="8">
                  <c:v>1831.31488717302</c:v>
                </c:pt>
                <c:pt idx="9">
                  <c:v>1699.4246030818299</c:v>
                </c:pt>
                <c:pt idx="10">
                  <c:v>1574.40808444147</c:v>
                </c:pt>
                <c:pt idx="11">
                  <c:v>1447.26114647845</c:v>
                </c:pt>
                <c:pt idx="12">
                  <c:v>1425.49268859424</c:v>
                </c:pt>
                <c:pt idx="13">
                  <c:v>1324.54891323997</c:v>
                </c:pt>
                <c:pt idx="14">
                  <c:v>1292.40641813559</c:v>
                </c:pt>
                <c:pt idx="15">
                  <c:v>1203.0350230593599</c:v>
                </c:pt>
                <c:pt idx="16">
                  <c:v>1160.9992634762</c:v>
                </c:pt>
                <c:pt idx="17">
                  <c:v>1101.72840109715</c:v>
                </c:pt>
                <c:pt idx="18">
                  <c:v>1090.0416740047399</c:v>
                </c:pt>
                <c:pt idx="19">
                  <c:v>1054.6599689105699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EE-45FC-A32C-DE87333D8818}"/>
            </c:ext>
          </c:extLst>
        </c:ser>
        <c:ser>
          <c:idx val="5"/>
          <c:order val="5"/>
          <c:tx>
            <c:strRef>
              <c:f>'Average distance'!$F$1</c:f>
              <c:strCache>
                <c:ptCount val="1"/>
                <c:pt idx="0">
                  <c:v>p-median genetic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'Average distance'!$F$2:$F$21</c:f>
              <c:numCache>
                <c:formatCode>_-* #,##0_-;\-* #,##0_-;_-* "-"??_-;_-@_-</c:formatCode>
                <c:ptCount val="20"/>
                <c:pt idx="0">
                  <c:v>7593.73358087628</c:v>
                </c:pt>
                <c:pt idx="1">
                  <c:v>4904.8788894788904</c:v>
                </c:pt>
                <c:pt idx="2">
                  <c:v>3619.84046037707</c:v>
                </c:pt>
                <c:pt idx="3">
                  <c:v>3061.30948463717</c:v>
                </c:pt>
                <c:pt idx="4">
                  <c:v>2886.9381484691799</c:v>
                </c:pt>
                <c:pt idx="5">
                  <c:v>2487.0118910926199</c:v>
                </c:pt>
                <c:pt idx="6">
                  <c:v>2237.5029360833901</c:v>
                </c:pt>
                <c:pt idx="7">
                  <c:v>2143.87843266655</c:v>
                </c:pt>
                <c:pt idx="8">
                  <c:v>1952.15305595719</c:v>
                </c:pt>
                <c:pt idx="9">
                  <c:v>1827.5476034219701</c:v>
                </c:pt>
                <c:pt idx="10">
                  <c:v>1710.5757624033299</c:v>
                </c:pt>
                <c:pt idx="11">
                  <c:v>1695.7380368326501</c:v>
                </c:pt>
                <c:pt idx="12">
                  <c:v>1658.6413331648</c:v>
                </c:pt>
                <c:pt idx="13">
                  <c:v>1511.1901566981501</c:v>
                </c:pt>
                <c:pt idx="14">
                  <c:v>1529.8230339403401</c:v>
                </c:pt>
                <c:pt idx="15">
                  <c:v>1430.10514241127</c:v>
                </c:pt>
                <c:pt idx="16">
                  <c:v>1442.4906071153</c:v>
                </c:pt>
                <c:pt idx="17">
                  <c:v>1419.29379830996</c:v>
                </c:pt>
                <c:pt idx="18">
                  <c:v>1475.6374661965001</c:v>
                </c:pt>
                <c:pt idx="19">
                  <c:v>1264.0035429750501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EE-45FC-A32C-DE87333D8818}"/>
            </c:ext>
          </c:extLst>
        </c:ser>
        <c:ser>
          <c:idx val="6"/>
          <c:order val="6"/>
          <c:tx>
            <c:strRef>
              <c:f>'Average distance'!$G$1</c:f>
              <c:strCache>
                <c:ptCount val="1"/>
                <c:pt idx="0">
                  <c:v>p-median particle swarm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'Average distance'!$G$2:$G$21</c:f>
              <c:numCache>
                <c:formatCode>_-* #,##0_-;\-* #,##0_-;_-* "-"??_-;_-@_-</c:formatCode>
                <c:ptCount val="20"/>
                <c:pt idx="0">
                  <c:v>7582.17171087521</c:v>
                </c:pt>
                <c:pt idx="1">
                  <c:v>4977.2838427732804</c:v>
                </c:pt>
                <c:pt idx="2">
                  <c:v>3675.1910505476999</c:v>
                </c:pt>
                <c:pt idx="3">
                  <c:v>3386.9977645694898</c:v>
                </c:pt>
                <c:pt idx="4">
                  <c:v>3094.7314849761501</c:v>
                </c:pt>
                <c:pt idx="5">
                  <c:v>2850.4999128885202</c:v>
                </c:pt>
                <c:pt idx="6">
                  <c:v>2601.3797249118202</c:v>
                </c:pt>
                <c:pt idx="7">
                  <c:v>2637.74901811158</c:v>
                </c:pt>
                <c:pt idx="8">
                  <c:v>2162.99993174986</c:v>
                </c:pt>
                <c:pt idx="9">
                  <c:v>2299.6992553573</c:v>
                </c:pt>
                <c:pt idx="10">
                  <c:v>2145.9957615282301</c:v>
                </c:pt>
                <c:pt idx="11">
                  <c:v>2080.3182708484001</c:v>
                </c:pt>
                <c:pt idx="12">
                  <c:v>1936.19125172345</c:v>
                </c:pt>
                <c:pt idx="13">
                  <c:v>1966.2159700663899</c:v>
                </c:pt>
                <c:pt idx="14">
                  <c:v>1868.6197572595299</c:v>
                </c:pt>
                <c:pt idx="15">
                  <c:v>1872.1391372093799</c:v>
                </c:pt>
                <c:pt idx="16">
                  <c:v>1832.0837551827899</c:v>
                </c:pt>
                <c:pt idx="17">
                  <c:v>1794.0647793414</c:v>
                </c:pt>
                <c:pt idx="18">
                  <c:v>1783.68483384668</c:v>
                </c:pt>
                <c:pt idx="19">
                  <c:v>1736.8086133229799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EE-45FC-A32C-DE87333D8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6456607"/>
        <c:axId val="6945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'Average distance'!$A$1</c15:sqref>
                        </c15:formulaRef>
                      </c:ext>
                    </c:extLst>
                    <c:strCache>
                      <c:ptCount val="1"/>
                      <c:pt idx="0">
                        <c:v>Number of swap stations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'Average distance'!$A$2:$A$21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046-4541-9B09-5F17B4F28293}"/>
                  </c:ext>
                </c:extLst>
              </c15:ser>
            </c15:filteredLineSeries>
          </c:ext>
        </c:extLst>
      </c:lineChart>
      <c:catAx>
        <c:axId val="10064566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 of swap stations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55167"/>
        <c:crosses val="autoZero"/>
        <c:auto val="1"/>
        <c:lblAlgn val="ctr"/>
        <c:lblOffset val="100"/>
        <c:noMultiLvlLbl val="0"/>
      </c:catAx>
      <c:valAx>
        <c:axId val="69455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Meters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456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Maximum route distance from taxi ranks to nearest swap station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'Max distance'!$B$1</c:f>
              <c:strCache>
                <c:ptCount val="1"/>
                <c:pt idx="0">
                  <c:v>k-means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'Max distance'!$B$2:$B$21</c:f>
              <c:numCache>
                <c:formatCode>_-* #,##0_-;\-* #,##0_-;_-* "-"??_-;_-@_-</c:formatCode>
                <c:ptCount val="20"/>
                <c:pt idx="0">
                  <c:v>14936.661534959299</c:v>
                </c:pt>
                <c:pt idx="1">
                  <c:v>12177.8948389343</c:v>
                </c:pt>
                <c:pt idx="2">
                  <c:v>8154.8769636489296</c:v>
                </c:pt>
                <c:pt idx="3">
                  <c:v>8943.9469313492791</c:v>
                </c:pt>
                <c:pt idx="4">
                  <c:v>8943.9469313492791</c:v>
                </c:pt>
                <c:pt idx="5">
                  <c:v>6190.6379439434804</c:v>
                </c:pt>
                <c:pt idx="6">
                  <c:v>5286.5282223934</c:v>
                </c:pt>
                <c:pt idx="7">
                  <c:v>5496.1254749671898</c:v>
                </c:pt>
                <c:pt idx="8">
                  <c:v>5496.1254749671898</c:v>
                </c:pt>
                <c:pt idx="9">
                  <c:v>4178.9334433432005</c:v>
                </c:pt>
                <c:pt idx="10">
                  <c:v>4392.4458961048604</c:v>
                </c:pt>
                <c:pt idx="11">
                  <c:v>4392.4458961048604</c:v>
                </c:pt>
                <c:pt idx="12">
                  <c:v>4392.4458961048604</c:v>
                </c:pt>
                <c:pt idx="13">
                  <c:v>4530.4685718823603</c:v>
                </c:pt>
                <c:pt idx="14">
                  <c:v>4530.4685718823603</c:v>
                </c:pt>
                <c:pt idx="15">
                  <c:v>4530.4685718823603</c:v>
                </c:pt>
                <c:pt idx="16">
                  <c:v>4530.4685718823603</c:v>
                </c:pt>
                <c:pt idx="17">
                  <c:v>4530.4685718823603</c:v>
                </c:pt>
                <c:pt idx="18">
                  <c:v>4530.4685718823603</c:v>
                </c:pt>
                <c:pt idx="19">
                  <c:v>4530.4685718823603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3E-4B6F-BED4-2597F9C6FA55}"/>
            </c:ext>
          </c:extLst>
        </c:ser>
        <c:ser>
          <c:idx val="2"/>
          <c:order val="2"/>
          <c:tx>
            <c:strRef>
              <c:f>'Max distance'!$C$1</c:f>
              <c:strCache>
                <c:ptCount val="1"/>
                <c:pt idx="0">
                  <c:v>p-median greedy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'Max distance'!$C$2:$C$21</c:f>
              <c:numCache>
                <c:formatCode>_-* #,##0_-;\-* #,##0_-;_-* "-"??_-;_-@_-</c:formatCode>
                <c:ptCount val="20"/>
                <c:pt idx="0">
                  <c:v>13675.083807938399</c:v>
                </c:pt>
                <c:pt idx="1">
                  <c:v>11416.844274876399</c:v>
                </c:pt>
                <c:pt idx="2">
                  <c:v>8534.9949353604097</c:v>
                </c:pt>
                <c:pt idx="3">
                  <c:v>6446.1921108955003</c:v>
                </c:pt>
                <c:pt idx="4">
                  <c:v>6749.0893232416602</c:v>
                </c:pt>
                <c:pt idx="5">
                  <c:v>6137.0668304447399</c:v>
                </c:pt>
                <c:pt idx="6">
                  <c:v>6444.9492284364196</c:v>
                </c:pt>
                <c:pt idx="7">
                  <c:v>4135.2677232059896</c:v>
                </c:pt>
                <c:pt idx="8">
                  <c:v>4135.2677232059896</c:v>
                </c:pt>
                <c:pt idx="9">
                  <c:v>4135.2677232059896</c:v>
                </c:pt>
                <c:pt idx="10">
                  <c:v>4135.2677232059896</c:v>
                </c:pt>
                <c:pt idx="11">
                  <c:v>4135.2677232059896</c:v>
                </c:pt>
                <c:pt idx="12">
                  <c:v>4135.2677232059896</c:v>
                </c:pt>
                <c:pt idx="13">
                  <c:v>4135.2677232059896</c:v>
                </c:pt>
                <c:pt idx="14">
                  <c:v>4135.2677232059896</c:v>
                </c:pt>
                <c:pt idx="15">
                  <c:v>4135.2677232059896</c:v>
                </c:pt>
                <c:pt idx="16">
                  <c:v>4135.2677232059896</c:v>
                </c:pt>
                <c:pt idx="17">
                  <c:v>4135.2677232059896</c:v>
                </c:pt>
                <c:pt idx="18">
                  <c:v>3928.7763286395002</c:v>
                </c:pt>
                <c:pt idx="19">
                  <c:v>3928.7763286395002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3E-4B6F-BED4-2597F9C6FA55}"/>
            </c:ext>
          </c:extLst>
        </c:ser>
        <c:ser>
          <c:idx val="3"/>
          <c:order val="3"/>
          <c:tx>
            <c:strRef>
              <c:f>'Max distance'!$D$1</c:f>
              <c:strCache>
                <c:ptCount val="1"/>
                <c:pt idx="0">
                  <c:v>p-median SA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'Max distance'!$D$2:$D$21</c:f>
              <c:numCache>
                <c:formatCode>_-* #,##0_-;\-* #,##0_-;_-* "-"??_-;_-@_-</c:formatCode>
                <c:ptCount val="20"/>
                <c:pt idx="0">
                  <c:v>13675.083807938399</c:v>
                </c:pt>
                <c:pt idx="1">
                  <c:v>11416.844274876399</c:v>
                </c:pt>
                <c:pt idx="2">
                  <c:v>8534.9949353604097</c:v>
                </c:pt>
                <c:pt idx="3">
                  <c:v>6446.1921108955003</c:v>
                </c:pt>
                <c:pt idx="4">
                  <c:v>6749.0893232416602</c:v>
                </c:pt>
                <c:pt idx="5">
                  <c:v>6749.0893232416602</c:v>
                </c:pt>
                <c:pt idx="6">
                  <c:v>6444.9492284364196</c:v>
                </c:pt>
                <c:pt idx="7">
                  <c:v>4135.2677232059896</c:v>
                </c:pt>
                <c:pt idx="8">
                  <c:v>4135.2677232059896</c:v>
                </c:pt>
                <c:pt idx="9">
                  <c:v>4135.2677232059896</c:v>
                </c:pt>
                <c:pt idx="10">
                  <c:v>4135.2677232059896</c:v>
                </c:pt>
                <c:pt idx="11">
                  <c:v>4135.2677232059896</c:v>
                </c:pt>
                <c:pt idx="12">
                  <c:v>4154.1771837428196</c:v>
                </c:pt>
                <c:pt idx="13">
                  <c:v>4135.2677232059896</c:v>
                </c:pt>
                <c:pt idx="14">
                  <c:v>4135.2677232059896</c:v>
                </c:pt>
                <c:pt idx="15">
                  <c:v>4154.1771837428196</c:v>
                </c:pt>
                <c:pt idx="16">
                  <c:v>4135.2677232059896</c:v>
                </c:pt>
                <c:pt idx="17">
                  <c:v>4135.2677232059896</c:v>
                </c:pt>
                <c:pt idx="18">
                  <c:v>4135.2677232059896</c:v>
                </c:pt>
                <c:pt idx="19">
                  <c:v>3928.7763286395002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3E-4B6F-BED4-2597F9C6FA55}"/>
            </c:ext>
          </c:extLst>
        </c:ser>
        <c:ser>
          <c:idx val="4"/>
          <c:order val="4"/>
          <c:tx>
            <c:strRef>
              <c:f>'Max distance'!$E$1</c:f>
              <c:strCache>
                <c:ptCount val="1"/>
                <c:pt idx="0">
                  <c:v>p-median TABU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'Max distance'!$E$2:$E$21</c:f>
              <c:numCache>
                <c:formatCode>_-* #,##0_-;\-* #,##0_-;_-* "-"??_-;_-@_-</c:formatCode>
                <c:ptCount val="20"/>
                <c:pt idx="0">
                  <c:v>13592.6971977473</c:v>
                </c:pt>
                <c:pt idx="1">
                  <c:v>11381.799979400301</c:v>
                </c:pt>
                <c:pt idx="2">
                  <c:v>8554.8124416596693</c:v>
                </c:pt>
                <c:pt idx="3">
                  <c:v>7148.7817838565397</c:v>
                </c:pt>
                <c:pt idx="4">
                  <c:v>7151.2205494617301</c:v>
                </c:pt>
                <c:pt idx="5">
                  <c:v>6545.1795432169502</c:v>
                </c:pt>
                <c:pt idx="6">
                  <c:v>6460.8774358173596</c:v>
                </c:pt>
                <c:pt idx="7">
                  <c:v>6637.0719108697403</c:v>
                </c:pt>
                <c:pt idx="8">
                  <c:v>4338.23434032556</c:v>
                </c:pt>
                <c:pt idx="9">
                  <c:v>4500.5352645766297</c:v>
                </c:pt>
                <c:pt idx="10">
                  <c:v>4036.7380656180299</c:v>
                </c:pt>
                <c:pt idx="11">
                  <c:v>4249.3416152159998</c:v>
                </c:pt>
                <c:pt idx="12">
                  <c:v>4347.8979129933095</c:v>
                </c:pt>
                <c:pt idx="13">
                  <c:v>3997.77288858769</c:v>
                </c:pt>
                <c:pt idx="14">
                  <c:v>4044.7143879036798</c:v>
                </c:pt>
                <c:pt idx="15">
                  <c:v>4043.1652154767398</c:v>
                </c:pt>
                <c:pt idx="16">
                  <c:v>3658.42864959489</c:v>
                </c:pt>
                <c:pt idx="17">
                  <c:v>4714.8808518961196</c:v>
                </c:pt>
                <c:pt idx="18">
                  <c:v>3849.8003325946001</c:v>
                </c:pt>
                <c:pt idx="19">
                  <c:v>3944.9365522672902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C3E-4B6F-BED4-2597F9C6FA55}"/>
            </c:ext>
          </c:extLst>
        </c:ser>
        <c:ser>
          <c:idx val="5"/>
          <c:order val="5"/>
          <c:tx>
            <c:strRef>
              <c:f>'Max distance'!$F$1</c:f>
              <c:strCache>
                <c:ptCount val="1"/>
                <c:pt idx="0">
                  <c:v>p-median genetic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'Max distance'!$F$2:$F$21</c:f>
              <c:numCache>
                <c:formatCode>_-* #,##0_-;\-* #,##0_-;_-* "-"??_-;_-@_-</c:formatCode>
                <c:ptCount val="20"/>
                <c:pt idx="0">
                  <c:v>13707.167454411099</c:v>
                </c:pt>
                <c:pt idx="1">
                  <c:v>11205.402023589801</c:v>
                </c:pt>
                <c:pt idx="2">
                  <c:v>8155.31034144349</c:v>
                </c:pt>
                <c:pt idx="3">
                  <c:v>7154.8120080413701</c:v>
                </c:pt>
                <c:pt idx="4">
                  <c:v>7297.9709013596403</c:v>
                </c:pt>
                <c:pt idx="5">
                  <c:v>6455.2749863583304</c:v>
                </c:pt>
                <c:pt idx="6">
                  <c:v>6573.8005933382101</c:v>
                </c:pt>
                <c:pt idx="7">
                  <c:v>6002.34654697519</c:v>
                </c:pt>
                <c:pt idx="8">
                  <c:v>6716.8323838140795</c:v>
                </c:pt>
                <c:pt idx="9">
                  <c:v>5065.6862023226904</c:v>
                </c:pt>
                <c:pt idx="10">
                  <c:v>4084.7513580485302</c:v>
                </c:pt>
                <c:pt idx="11">
                  <c:v>4947.61270716944</c:v>
                </c:pt>
                <c:pt idx="12">
                  <c:v>5608.6152242356902</c:v>
                </c:pt>
                <c:pt idx="13">
                  <c:v>4556.2618044928504</c:v>
                </c:pt>
                <c:pt idx="14">
                  <c:v>4143.5522083048199</c:v>
                </c:pt>
                <c:pt idx="15">
                  <c:v>3642.47257205298</c:v>
                </c:pt>
                <c:pt idx="16">
                  <c:v>3780.9634845600499</c:v>
                </c:pt>
                <c:pt idx="17">
                  <c:v>4205.8828119968503</c:v>
                </c:pt>
                <c:pt idx="18">
                  <c:v>4084.2110974745001</c:v>
                </c:pt>
                <c:pt idx="19">
                  <c:v>4346.8939445874203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C3E-4B6F-BED4-2597F9C6FA55}"/>
            </c:ext>
          </c:extLst>
        </c:ser>
        <c:ser>
          <c:idx val="6"/>
          <c:order val="6"/>
          <c:tx>
            <c:strRef>
              <c:f>'Max distance'!$G$1</c:f>
              <c:strCache>
                <c:ptCount val="1"/>
                <c:pt idx="0">
                  <c:v>p-median particle swarm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'Max distance'!$G$2:$G$21</c:f>
              <c:numCache>
                <c:formatCode>_-* #,##0_-;\-* #,##0_-;_-* "-"??_-;_-@_-</c:formatCode>
                <c:ptCount val="20"/>
                <c:pt idx="0">
                  <c:v>13675.083807938399</c:v>
                </c:pt>
                <c:pt idx="1">
                  <c:v>11587.453685945</c:v>
                </c:pt>
                <c:pt idx="2">
                  <c:v>7982.9575713184104</c:v>
                </c:pt>
                <c:pt idx="3">
                  <c:v>6996.1470559872596</c:v>
                </c:pt>
                <c:pt idx="4">
                  <c:v>6749.0893232416602</c:v>
                </c:pt>
                <c:pt idx="5">
                  <c:v>7987.7043096062098</c:v>
                </c:pt>
                <c:pt idx="6">
                  <c:v>5754.6856846410401</c:v>
                </c:pt>
                <c:pt idx="7">
                  <c:v>4956.8432813598201</c:v>
                </c:pt>
                <c:pt idx="8">
                  <c:v>4909.1127289138403</c:v>
                </c:pt>
                <c:pt idx="9">
                  <c:v>4721.9668769189802</c:v>
                </c:pt>
                <c:pt idx="10">
                  <c:v>5589.7584351340502</c:v>
                </c:pt>
                <c:pt idx="11">
                  <c:v>4954.3289106750499</c:v>
                </c:pt>
                <c:pt idx="12">
                  <c:v>5526.0539415009398</c:v>
                </c:pt>
                <c:pt idx="13">
                  <c:v>5172.5555663095001</c:v>
                </c:pt>
                <c:pt idx="14">
                  <c:v>4735.7817867457297</c:v>
                </c:pt>
                <c:pt idx="15">
                  <c:v>4088.4375121744101</c:v>
                </c:pt>
                <c:pt idx="16">
                  <c:v>4342.8728352947101</c:v>
                </c:pt>
                <c:pt idx="17">
                  <c:v>4135.4064569125903</c:v>
                </c:pt>
                <c:pt idx="18">
                  <c:v>4357.9555125839497</c:v>
                </c:pt>
                <c:pt idx="19">
                  <c:v>4110.0469314993197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C3E-4B6F-BED4-2597F9C6F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6456607"/>
        <c:axId val="6945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'Max distance'!$A$1</c15:sqref>
                        </c15:formulaRef>
                      </c:ext>
                    </c:extLst>
                    <c:strCache>
                      <c:ptCount val="1"/>
                      <c:pt idx="0">
                        <c:v>Number of swap stations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'Max distance'!$A$2:$A$21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3C3E-4B6F-BED4-2597F9C6FA55}"/>
                  </c:ext>
                </c:extLst>
              </c15:ser>
            </c15:filteredLineSeries>
          </c:ext>
        </c:extLst>
      </c:lineChart>
      <c:catAx>
        <c:axId val="10064566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 of swap stations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55167"/>
        <c:crosses val="autoZero"/>
        <c:auto val="1"/>
        <c:lblAlgn val="ctr"/>
        <c:lblOffset val="100"/>
        <c:noMultiLvlLbl val="0"/>
      </c:catAx>
      <c:valAx>
        <c:axId val="69455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Meters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456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2720</xdr:colOff>
      <xdr:row>0</xdr:row>
      <xdr:rowOff>141512</xdr:rowOff>
    </xdr:from>
    <xdr:to>
      <xdr:col>16</xdr:col>
      <xdr:colOff>615042</xdr:colOff>
      <xdr:row>33</xdr:row>
      <xdr:rowOff>168727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09A06A-220E-C33F-873F-8082991FAA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2720</xdr:colOff>
      <xdr:row>0</xdr:row>
      <xdr:rowOff>141512</xdr:rowOff>
    </xdr:from>
    <xdr:to>
      <xdr:col>16</xdr:col>
      <xdr:colOff>615042</xdr:colOff>
      <xdr:row>33</xdr:row>
      <xdr:rowOff>168727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C74C79-E13B-4C72-A975-4137A8C25C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A22CC-F528-4749-999C-9CAA405E81F1}">
  <dimension ref="A1:C22"/>
  <sheetViews>
    <sheetView workbookViewId="0">
      <selection sqref="A1:C22"/>
    </sheetView>
  </sheetViews>
  <sheetFormatPr defaultRowHeight="14.6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1</v>
      </c>
      <c r="B2">
        <v>7582.17171087521</v>
      </c>
      <c r="C2">
        <v>13675.083807938399</v>
      </c>
    </row>
    <row r="3" spans="1:3" x14ac:dyDescent="0.4">
      <c r="A3">
        <v>2</v>
      </c>
      <c r="B3">
        <v>4891.5400765428103</v>
      </c>
      <c r="C3">
        <v>11416.844274876399</v>
      </c>
    </row>
    <row r="4" spans="1:3" x14ac:dyDescent="0.4">
      <c r="A4">
        <v>3</v>
      </c>
      <c r="B4">
        <v>3540.8317097448098</v>
      </c>
      <c r="C4">
        <v>8534.9949353604097</v>
      </c>
    </row>
    <row r="5" spans="1:3" x14ac:dyDescent="0.4">
      <c r="A5">
        <v>4</v>
      </c>
      <c r="B5">
        <v>3045.13956254703</v>
      </c>
      <c r="C5">
        <v>6446.1921108955003</v>
      </c>
    </row>
    <row r="6" spans="1:3" x14ac:dyDescent="0.4">
      <c r="A6">
        <v>5</v>
      </c>
      <c r="B6">
        <v>2650.8140738147299</v>
      </c>
      <c r="C6">
        <v>6749.0893232416602</v>
      </c>
    </row>
    <row r="7" spans="1:3" x14ac:dyDescent="0.4">
      <c r="A7">
        <v>6</v>
      </c>
      <c r="B7">
        <v>2413.5486946942301</v>
      </c>
      <c r="C7">
        <v>6137.0668304447399</v>
      </c>
    </row>
    <row r="8" spans="1:3" x14ac:dyDescent="0.4">
      <c r="A8">
        <v>7</v>
      </c>
      <c r="B8">
        <v>2063.0870325624001</v>
      </c>
      <c r="C8">
        <v>6444.9492284364196</v>
      </c>
    </row>
    <row r="9" spans="1:3" x14ac:dyDescent="0.4">
      <c r="A9">
        <v>8</v>
      </c>
      <c r="B9">
        <v>1861.0372899318199</v>
      </c>
      <c r="C9">
        <v>4135.2677232059896</v>
      </c>
    </row>
    <row r="10" spans="1:3" x14ac:dyDescent="0.4">
      <c r="A10">
        <v>9</v>
      </c>
      <c r="B10">
        <v>1651.35794074194</v>
      </c>
      <c r="C10">
        <v>4135.2677232059896</v>
      </c>
    </row>
    <row r="11" spans="1:3" x14ac:dyDescent="0.4">
      <c r="A11">
        <v>10</v>
      </c>
      <c r="B11">
        <v>1478.03725525862</v>
      </c>
      <c r="C11">
        <v>4135.2677232059896</v>
      </c>
    </row>
    <row r="12" spans="1:3" x14ac:dyDescent="0.4">
      <c r="A12">
        <v>11</v>
      </c>
      <c r="B12">
        <v>1378.68955804297</v>
      </c>
      <c r="C12">
        <v>4135.2677232059896</v>
      </c>
    </row>
    <row r="13" spans="1:3" x14ac:dyDescent="0.4">
      <c r="A13">
        <v>12</v>
      </c>
      <c r="B13">
        <v>1309.1538379664601</v>
      </c>
      <c r="C13">
        <v>4135.2677232059896</v>
      </c>
    </row>
    <row r="14" spans="1:3" x14ac:dyDescent="0.4">
      <c r="A14">
        <v>13</v>
      </c>
      <c r="B14">
        <v>1220.4751458057499</v>
      </c>
      <c r="C14">
        <v>4135.2677232059896</v>
      </c>
    </row>
    <row r="15" spans="1:3" x14ac:dyDescent="0.4">
      <c r="A15">
        <v>14</v>
      </c>
      <c r="B15">
        <v>1150.25285699292</v>
      </c>
      <c r="C15">
        <v>4135.2677232059896</v>
      </c>
    </row>
    <row r="16" spans="1:3" x14ac:dyDescent="0.4">
      <c r="A16">
        <v>15</v>
      </c>
      <c r="B16">
        <v>1073.1030118638901</v>
      </c>
      <c r="C16">
        <v>4135.2677232059896</v>
      </c>
    </row>
    <row r="17" spans="1:3" x14ac:dyDescent="0.4">
      <c r="A17">
        <v>16</v>
      </c>
      <c r="B17">
        <v>1018.26748272253</v>
      </c>
      <c r="C17">
        <v>4135.2677232059896</v>
      </c>
    </row>
    <row r="18" spans="1:3" x14ac:dyDescent="0.4">
      <c r="A18">
        <v>17</v>
      </c>
      <c r="B18">
        <v>968.37325014933901</v>
      </c>
      <c r="C18">
        <v>4135.2677232059896</v>
      </c>
    </row>
    <row r="19" spans="1:3" x14ac:dyDescent="0.4">
      <c r="A19">
        <v>18</v>
      </c>
      <c r="B19">
        <v>923.73803381002597</v>
      </c>
      <c r="C19">
        <v>4135.2677232059896</v>
      </c>
    </row>
    <row r="20" spans="1:3" x14ac:dyDescent="0.4">
      <c r="A20">
        <v>19</v>
      </c>
      <c r="B20">
        <v>877.92336120385596</v>
      </c>
      <c r="C20">
        <v>3928.7763286395002</v>
      </c>
    </row>
    <row r="21" spans="1:3" x14ac:dyDescent="0.4">
      <c r="A21">
        <v>20</v>
      </c>
      <c r="B21">
        <v>835.15703334429497</v>
      </c>
      <c r="C21">
        <v>3928.7763286395002</v>
      </c>
    </row>
    <row r="22" spans="1:3" x14ac:dyDescent="0.4">
      <c r="A22" t="s">
        <v>12</v>
      </c>
      <c r="B22">
        <v>6522.6309087276404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A7473-8456-45E6-8CF6-048578961162}">
  <dimension ref="A1:C22"/>
  <sheetViews>
    <sheetView workbookViewId="0">
      <selection sqref="A1:C22"/>
    </sheetView>
  </sheetViews>
  <sheetFormatPr defaultRowHeight="14.6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1</v>
      </c>
      <c r="B2">
        <v>7582.17171087521</v>
      </c>
      <c r="C2">
        <v>13675.083807938399</v>
      </c>
    </row>
    <row r="3" spans="1:3" x14ac:dyDescent="0.4">
      <c r="A3">
        <v>2</v>
      </c>
      <c r="B3">
        <v>4891.5400765428103</v>
      </c>
      <c r="C3">
        <v>11416.844274876399</v>
      </c>
    </row>
    <row r="4" spans="1:3" x14ac:dyDescent="0.4">
      <c r="A4">
        <v>3</v>
      </c>
      <c r="B4">
        <v>3540.8317097448098</v>
      </c>
      <c r="C4">
        <v>8534.9949353604097</v>
      </c>
    </row>
    <row r="5" spans="1:3" x14ac:dyDescent="0.4">
      <c r="A5">
        <v>4</v>
      </c>
      <c r="B5">
        <v>3045.13956254703</v>
      </c>
      <c r="C5">
        <v>6446.1921108955003</v>
      </c>
    </row>
    <row r="6" spans="1:3" x14ac:dyDescent="0.4">
      <c r="A6">
        <v>5</v>
      </c>
      <c r="B6">
        <v>2650.8140738147299</v>
      </c>
      <c r="C6">
        <v>6749.0893232416602</v>
      </c>
    </row>
    <row r="7" spans="1:3" x14ac:dyDescent="0.4">
      <c r="A7">
        <v>6</v>
      </c>
      <c r="B7">
        <v>2318.98733357334</v>
      </c>
      <c r="C7">
        <v>6749.0893232416602</v>
      </c>
    </row>
    <row r="8" spans="1:3" x14ac:dyDescent="0.4">
      <c r="A8">
        <v>7</v>
      </c>
      <c r="B8">
        <v>2063.0870325624001</v>
      </c>
      <c r="C8">
        <v>6444.9492284364196</v>
      </c>
    </row>
    <row r="9" spans="1:3" x14ac:dyDescent="0.4">
      <c r="A9">
        <v>8</v>
      </c>
      <c r="B9">
        <v>1861.0372899318199</v>
      </c>
      <c r="C9">
        <v>4135.2677232059896</v>
      </c>
    </row>
    <row r="10" spans="1:3" x14ac:dyDescent="0.4">
      <c r="A10">
        <v>9</v>
      </c>
      <c r="B10">
        <v>1651.35794074194</v>
      </c>
      <c r="C10">
        <v>4135.2677232059896</v>
      </c>
    </row>
    <row r="11" spans="1:3" x14ac:dyDescent="0.4">
      <c r="A11">
        <v>10</v>
      </c>
      <c r="B11">
        <v>1478.03725525862</v>
      </c>
      <c r="C11">
        <v>4135.2677232059896</v>
      </c>
    </row>
    <row r="12" spans="1:3" x14ac:dyDescent="0.4">
      <c r="A12">
        <v>11</v>
      </c>
      <c r="B12">
        <v>1378.16098846706</v>
      </c>
      <c r="C12">
        <v>4135.2677232059896</v>
      </c>
    </row>
    <row r="13" spans="1:3" x14ac:dyDescent="0.4">
      <c r="A13">
        <v>12</v>
      </c>
      <c r="B13">
        <v>1291.31349425842</v>
      </c>
      <c r="C13">
        <v>4135.2677232059896</v>
      </c>
    </row>
    <row r="14" spans="1:3" x14ac:dyDescent="0.4">
      <c r="A14">
        <v>13</v>
      </c>
      <c r="B14">
        <v>1220.99190637632</v>
      </c>
      <c r="C14">
        <v>4154.1771837428196</v>
      </c>
    </row>
    <row r="15" spans="1:3" x14ac:dyDescent="0.4">
      <c r="A15">
        <v>14</v>
      </c>
      <c r="B15">
        <v>1142.6597930698099</v>
      </c>
      <c r="C15">
        <v>4135.2677232059896</v>
      </c>
    </row>
    <row r="16" spans="1:3" x14ac:dyDescent="0.4">
      <c r="A16">
        <v>15</v>
      </c>
      <c r="B16">
        <v>1091.4120302901199</v>
      </c>
      <c r="C16">
        <v>4135.2677232059896</v>
      </c>
    </row>
    <row r="17" spans="1:3" x14ac:dyDescent="0.4">
      <c r="A17">
        <v>16</v>
      </c>
      <c r="B17">
        <v>1020.45702247183</v>
      </c>
      <c r="C17">
        <v>4154.1771837428196</v>
      </c>
    </row>
    <row r="18" spans="1:3" x14ac:dyDescent="0.4">
      <c r="A18">
        <v>17</v>
      </c>
      <c r="B18">
        <v>981.47943857683595</v>
      </c>
      <c r="C18">
        <v>4135.2677232059896</v>
      </c>
    </row>
    <row r="19" spans="1:3" x14ac:dyDescent="0.4">
      <c r="A19">
        <v>18</v>
      </c>
      <c r="B19">
        <v>923.84863467012497</v>
      </c>
      <c r="C19">
        <v>4135.2677232059896</v>
      </c>
    </row>
    <row r="20" spans="1:3" x14ac:dyDescent="0.4">
      <c r="A20">
        <v>19</v>
      </c>
      <c r="B20">
        <v>878.83129505440604</v>
      </c>
      <c r="C20">
        <v>4135.2677232059896</v>
      </c>
    </row>
    <row r="21" spans="1:3" x14ac:dyDescent="0.4">
      <c r="A21">
        <v>20</v>
      </c>
      <c r="B21">
        <v>831.63200541142203</v>
      </c>
      <c r="C21">
        <v>3928.7763286395002</v>
      </c>
    </row>
    <row r="22" spans="1:3" x14ac:dyDescent="0.4">
      <c r="A22" t="s">
        <v>12</v>
      </c>
      <c r="B22">
        <v>11173.5327336788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34788-2C01-4C54-B683-269911449BDF}">
  <dimension ref="A1:C22"/>
  <sheetViews>
    <sheetView workbookViewId="0">
      <selection activeCell="E8" sqref="E8"/>
    </sheetView>
  </sheetViews>
  <sheetFormatPr defaultRowHeight="14.6" x14ac:dyDescent="0.4"/>
  <sheetData>
    <row r="1" spans="1:3" x14ac:dyDescent="0.4">
      <c r="A1" t="s">
        <v>0</v>
      </c>
      <c r="B1" t="s">
        <v>3</v>
      </c>
      <c r="C1" t="s">
        <v>4</v>
      </c>
    </row>
    <row r="2" spans="1:3" x14ac:dyDescent="0.4">
      <c r="A2">
        <v>1</v>
      </c>
      <c r="B2">
        <v>7941.7544881486901</v>
      </c>
      <c r="C2">
        <v>14936.661534959299</v>
      </c>
    </row>
    <row r="3" spans="1:3" x14ac:dyDescent="0.4">
      <c r="A3">
        <v>2</v>
      </c>
      <c r="B3">
        <v>5383.3061368777298</v>
      </c>
      <c r="C3">
        <v>12177.8948389343</v>
      </c>
    </row>
    <row r="4" spans="1:3" x14ac:dyDescent="0.4">
      <c r="A4">
        <v>3</v>
      </c>
      <c r="B4">
        <v>3995.6662982847902</v>
      </c>
      <c r="C4">
        <v>8154.8769636489296</v>
      </c>
    </row>
    <row r="5" spans="1:3" x14ac:dyDescent="0.4">
      <c r="A5">
        <v>4</v>
      </c>
      <c r="B5">
        <v>3704.19230370894</v>
      </c>
      <c r="C5">
        <v>8943.9469313492791</v>
      </c>
    </row>
    <row r="6" spans="1:3" x14ac:dyDescent="0.4">
      <c r="A6">
        <v>5</v>
      </c>
      <c r="B6">
        <v>3386.7574485397899</v>
      </c>
      <c r="C6">
        <v>8943.9469313492791</v>
      </c>
    </row>
    <row r="7" spans="1:3" x14ac:dyDescent="0.4">
      <c r="A7">
        <v>6</v>
      </c>
      <c r="B7">
        <v>2914.9350422666998</v>
      </c>
      <c r="C7">
        <v>6190.6379439434804</v>
      </c>
    </row>
    <row r="8" spans="1:3" x14ac:dyDescent="0.4">
      <c r="A8">
        <v>7</v>
      </c>
      <c r="B8">
        <v>2285.3928619559301</v>
      </c>
      <c r="C8">
        <v>5286.5282223934</v>
      </c>
    </row>
    <row r="9" spans="1:3" x14ac:dyDescent="0.4">
      <c r="A9">
        <v>8</v>
      </c>
      <c r="B9">
        <v>2389.1732156190601</v>
      </c>
      <c r="C9">
        <v>5496.1254749671898</v>
      </c>
    </row>
    <row r="10" spans="1:3" x14ac:dyDescent="0.4">
      <c r="A10">
        <v>9</v>
      </c>
      <c r="B10">
        <v>2316.61559689047</v>
      </c>
      <c r="C10">
        <v>5496.1254749671898</v>
      </c>
    </row>
    <row r="11" spans="1:3" x14ac:dyDescent="0.4">
      <c r="A11">
        <v>10</v>
      </c>
      <c r="B11">
        <v>1830.8688450350101</v>
      </c>
      <c r="C11">
        <v>4178.9334433432005</v>
      </c>
    </row>
    <row r="12" spans="1:3" x14ac:dyDescent="0.4">
      <c r="A12">
        <v>11</v>
      </c>
      <c r="B12">
        <v>1847.4890867066799</v>
      </c>
      <c r="C12">
        <v>4392.4458961048604</v>
      </c>
    </row>
    <row r="13" spans="1:3" x14ac:dyDescent="0.4">
      <c r="A13">
        <v>12</v>
      </c>
      <c r="B13">
        <v>1654.7300836545301</v>
      </c>
      <c r="C13">
        <v>4392.4458961048604</v>
      </c>
    </row>
    <row r="14" spans="1:3" x14ac:dyDescent="0.4">
      <c r="A14">
        <v>13</v>
      </c>
      <c r="B14">
        <v>1607.7641987195</v>
      </c>
      <c r="C14">
        <v>4392.4458961048604</v>
      </c>
    </row>
    <row r="15" spans="1:3" x14ac:dyDescent="0.4">
      <c r="A15">
        <v>14</v>
      </c>
      <c r="B15">
        <v>1663.0949042791599</v>
      </c>
      <c r="C15">
        <v>4530.4685718823603</v>
      </c>
    </row>
    <row r="16" spans="1:3" x14ac:dyDescent="0.4">
      <c r="A16">
        <v>15</v>
      </c>
      <c r="B16">
        <v>1559.7260332220301</v>
      </c>
      <c r="C16">
        <v>4530.4685718823603</v>
      </c>
    </row>
    <row r="17" spans="1:3" x14ac:dyDescent="0.4">
      <c r="A17">
        <v>16</v>
      </c>
      <c r="B17">
        <v>1524.9545540942199</v>
      </c>
      <c r="C17">
        <v>4530.4685718823603</v>
      </c>
    </row>
    <row r="18" spans="1:3" x14ac:dyDescent="0.4">
      <c r="A18">
        <v>17</v>
      </c>
      <c r="B18">
        <v>1484.42740336764</v>
      </c>
      <c r="C18">
        <v>4530.4685718823603</v>
      </c>
    </row>
    <row r="19" spans="1:3" x14ac:dyDescent="0.4">
      <c r="A19">
        <v>18</v>
      </c>
      <c r="B19">
        <v>1450.11590258301</v>
      </c>
      <c r="C19">
        <v>4530.4685718823603</v>
      </c>
    </row>
    <row r="20" spans="1:3" x14ac:dyDescent="0.4">
      <c r="A20">
        <v>19</v>
      </c>
      <c r="B20">
        <v>1345.8396004460501</v>
      </c>
      <c r="C20">
        <v>4530.4685718823603</v>
      </c>
    </row>
    <row r="21" spans="1:3" x14ac:dyDescent="0.4">
      <c r="A21">
        <v>20</v>
      </c>
      <c r="B21">
        <v>1284.6544807110299</v>
      </c>
      <c r="C21">
        <v>4530.4685718823603</v>
      </c>
    </row>
    <row r="22" spans="1:3" x14ac:dyDescent="0.4">
      <c r="A22" t="s">
        <v>12</v>
      </c>
      <c r="B22">
        <v>110.452228307724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ADDB0-81F4-498F-81EF-5F90DA704ED0}">
  <dimension ref="A1:C22"/>
  <sheetViews>
    <sheetView workbookViewId="0">
      <selection sqref="A1:C22"/>
    </sheetView>
  </sheetViews>
  <sheetFormatPr defaultRowHeight="14.6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1</v>
      </c>
      <c r="B2">
        <v>7583.6218703419099</v>
      </c>
      <c r="C2">
        <v>13592.6971977473</v>
      </c>
    </row>
    <row r="3" spans="1:3" x14ac:dyDescent="0.4">
      <c r="A3">
        <v>2</v>
      </c>
      <c r="B3">
        <v>4924.2680647308598</v>
      </c>
      <c r="C3">
        <v>11381.799979400301</v>
      </c>
    </row>
    <row r="4" spans="1:3" x14ac:dyDescent="0.4">
      <c r="A4">
        <v>3</v>
      </c>
      <c r="B4">
        <v>3628.9981278161099</v>
      </c>
      <c r="C4">
        <v>8554.8124416596693</v>
      </c>
    </row>
    <row r="5" spans="1:3" x14ac:dyDescent="0.4">
      <c r="A5">
        <v>4</v>
      </c>
      <c r="B5">
        <v>3088.8527953664902</v>
      </c>
      <c r="C5">
        <v>7148.7817838565397</v>
      </c>
    </row>
    <row r="6" spans="1:3" x14ac:dyDescent="0.4">
      <c r="A6">
        <v>5</v>
      </c>
      <c r="B6">
        <v>2761.2010760654898</v>
      </c>
      <c r="C6">
        <v>7151.2205494617301</v>
      </c>
    </row>
    <row r="7" spans="1:3" x14ac:dyDescent="0.4">
      <c r="A7">
        <v>6</v>
      </c>
      <c r="B7">
        <v>2449.8953472468802</v>
      </c>
      <c r="C7">
        <v>6545.1795432169502</v>
      </c>
    </row>
    <row r="8" spans="1:3" x14ac:dyDescent="0.4">
      <c r="A8">
        <v>7</v>
      </c>
      <c r="B8">
        <v>2197.5953376696698</v>
      </c>
      <c r="C8">
        <v>6460.8774358173596</v>
      </c>
    </row>
    <row r="9" spans="1:3" x14ac:dyDescent="0.4">
      <c r="A9">
        <v>8</v>
      </c>
      <c r="B9">
        <v>2037.28261065275</v>
      </c>
      <c r="C9">
        <v>6637.0719108697403</v>
      </c>
    </row>
    <row r="10" spans="1:3" x14ac:dyDescent="0.4">
      <c r="A10">
        <v>9</v>
      </c>
      <c r="B10">
        <v>1831.31488717302</v>
      </c>
      <c r="C10">
        <v>4338.23434032556</v>
      </c>
    </row>
    <row r="11" spans="1:3" x14ac:dyDescent="0.4">
      <c r="A11">
        <v>10</v>
      </c>
      <c r="B11">
        <v>1699.4246030818299</v>
      </c>
      <c r="C11">
        <v>4500.5352645766297</v>
      </c>
    </row>
    <row r="12" spans="1:3" x14ac:dyDescent="0.4">
      <c r="A12">
        <v>11</v>
      </c>
      <c r="B12">
        <v>1574.40808444147</v>
      </c>
      <c r="C12">
        <v>4036.7380656180299</v>
      </c>
    </row>
    <row r="13" spans="1:3" x14ac:dyDescent="0.4">
      <c r="A13">
        <v>12</v>
      </c>
      <c r="B13">
        <v>1447.26114647845</v>
      </c>
      <c r="C13">
        <v>4249.3416152159998</v>
      </c>
    </row>
    <row r="14" spans="1:3" x14ac:dyDescent="0.4">
      <c r="A14">
        <v>13</v>
      </c>
      <c r="B14">
        <v>1425.49268859424</v>
      </c>
      <c r="C14">
        <v>4347.8979129933095</v>
      </c>
    </row>
    <row r="15" spans="1:3" x14ac:dyDescent="0.4">
      <c r="A15">
        <v>14</v>
      </c>
      <c r="B15">
        <v>1324.54891323997</v>
      </c>
      <c r="C15">
        <v>3997.77288858769</v>
      </c>
    </row>
    <row r="16" spans="1:3" x14ac:dyDescent="0.4">
      <c r="A16">
        <v>15</v>
      </c>
      <c r="B16">
        <v>1292.40641813559</v>
      </c>
      <c r="C16">
        <v>4044.7143879036798</v>
      </c>
    </row>
    <row r="17" spans="1:3" x14ac:dyDescent="0.4">
      <c r="A17">
        <v>16</v>
      </c>
      <c r="B17">
        <v>1203.0350230593599</v>
      </c>
      <c r="C17">
        <v>4043.1652154767398</v>
      </c>
    </row>
    <row r="18" spans="1:3" x14ac:dyDescent="0.4">
      <c r="A18">
        <v>17</v>
      </c>
      <c r="B18">
        <v>1160.9992634762</v>
      </c>
      <c r="C18">
        <v>3658.42864959489</v>
      </c>
    </row>
    <row r="19" spans="1:3" x14ac:dyDescent="0.4">
      <c r="A19">
        <v>18</v>
      </c>
      <c r="B19">
        <v>1101.72840109715</v>
      </c>
      <c r="C19">
        <v>4714.8808518961196</v>
      </c>
    </row>
    <row r="20" spans="1:3" x14ac:dyDescent="0.4">
      <c r="A20">
        <v>19</v>
      </c>
      <c r="B20">
        <v>1090.0416740047399</v>
      </c>
      <c r="C20">
        <v>3849.8003325946001</v>
      </c>
    </row>
    <row r="21" spans="1:3" x14ac:dyDescent="0.4">
      <c r="A21">
        <v>20</v>
      </c>
      <c r="B21">
        <v>1054.6599689105699</v>
      </c>
      <c r="C21">
        <v>3944.9365522672902</v>
      </c>
    </row>
    <row r="22" spans="1:3" x14ac:dyDescent="0.4">
      <c r="A22" t="s">
        <v>12</v>
      </c>
      <c r="B22">
        <v>89.620505809783893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CD801-16F1-4429-9FA7-0CFA577B22A9}">
  <dimension ref="A1:C22"/>
  <sheetViews>
    <sheetView workbookViewId="0">
      <selection sqref="A1:C22"/>
    </sheetView>
  </sheetViews>
  <sheetFormatPr defaultRowHeight="14.6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1</v>
      </c>
      <c r="B2">
        <v>7593.73358087628</v>
      </c>
      <c r="C2">
        <v>13707.167454411099</v>
      </c>
    </row>
    <row r="3" spans="1:3" x14ac:dyDescent="0.4">
      <c r="A3">
        <v>2</v>
      </c>
      <c r="B3">
        <v>4904.8788894788904</v>
      </c>
      <c r="C3">
        <v>11205.402023589801</v>
      </c>
    </row>
    <row r="4" spans="1:3" x14ac:dyDescent="0.4">
      <c r="A4">
        <v>3</v>
      </c>
      <c r="B4">
        <v>3619.84046037707</v>
      </c>
      <c r="C4">
        <v>8155.31034144349</v>
      </c>
    </row>
    <row r="5" spans="1:3" x14ac:dyDescent="0.4">
      <c r="A5">
        <v>4</v>
      </c>
      <c r="B5">
        <v>3061.30948463717</v>
      </c>
      <c r="C5">
        <v>7154.8120080413701</v>
      </c>
    </row>
    <row r="6" spans="1:3" x14ac:dyDescent="0.4">
      <c r="A6">
        <v>5</v>
      </c>
      <c r="B6">
        <v>2886.9381484691799</v>
      </c>
      <c r="C6">
        <v>7297.9709013596403</v>
      </c>
    </row>
    <row r="7" spans="1:3" x14ac:dyDescent="0.4">
      <c r="A7">
        <v>6</v>
      </c>
      <c r="B7">
        <v>2487.0118910926199</v>
      </c>
      <c r="C7">
        <v>6455.2749863583304</v>
      </c>
    </row>
    <row r="8" spans="1:3" x14ac:dyDescent="0.4">
      <c r="A8">
        <v>7</v>
      </c>
      <c r="B8">
        <v>2237.5029360833901</v>
      </c>
      <c r="C8">
        <v>6573.8005933382101</v>
      </c>
    </row>
    <row r="9" spans="1:3" x14ac:dyDescent="0.4">
      <c r="A9">
        <v>8</v>
      </c>
      <c r="B9">
        <v>2143.87843266655</v>
      </c>
      <c r="C9">
        <v>6002.34654697519</v>
      </c>
    </row>
    <row r="10" spans="1:3" x14ac:dyDescent="0.4">
      <c r="A10">
        <v>9</v>
      </c>
      <c r="B10">
        <v>1952.15305595719</v>
      </c>
      <c r="C10">
        <v>6716.8323838140795</v>
      </c>
    </row>
    <row r="11" spans="1:3" x14ac:dyDescent="0.4">
      <c r="A11">
        <v>10</v>
      </c>
      <c r="B11">
        <v>1827.5476034219701</v>
      </c>
      <c r="C11">
        <v>5065.6862023226904</v>
      </c>
    </row>
    <row r="12" spans="1:3" x14ac:dyDescent="0.4">
      <c r="A12">
        <v>11</v>
      </c>
      <c r="B12">
        <v>1710.5757624033299</v>
      </c>
      <c r="C12">
        <v>4084.7513580485302</v>
      </c>
    </row>
    <row r="13" spans="1:3" x14ac:dyDescent="0.4">
      <c r="A13">
        <v>12</v>
      </c>
      <c r="B13">
        <v>1695.7380368326501</v>
      </c>
      <c r="C13">
        <v>4947.61270716944</v>
      </c>
    </row>
    <row r="14" spans="1:3" x14ac:dyDescent="0.4">
      <c r="A14">
        <v>13</v>
      </c>
      <c r="B14">
        <v>1658.6413331648</v>
      </c>
      <c r="C14">
        <v>5608.6152242356902</v>
      </c>
    </row>
    <row r="15" spans="1:3" x14ac:dyDescent="0.4">
      <c r="A15">
        <v>14</v>
      </c>
      <c r="B15">
        <v>1511.1901566981501</v>
      </c>
      <c r="C15">
        <v>4556.2618044928504</v>
      </c>
    </row>
    <row r="16" spans="1:3" x14ac:dyDescent="0.4">
      <c r="A16">
        <v>15</v>
      </c>
      <c r="B16">
        <v>1529.8230339403401</v>
      </c>
      <c r="C16">
        <v>4143.5522083048199</v>
      </c>
    </row>
    <row r="17" spans="1:3" x14ac:dyDescent="0.4">
      <c r="A17">
        <v>16</v>
      </c>
      <c r="B17">
        <v>1430.10514241127</v>
      </c>
      <c r="C17">
        <v>3642.47257205298</v>
      </c>
    </row>
    <row r="18" spans="1:3" x14ac:dyDescent="0.4">
      <c r="A18">
        <v>17</v>
      </c>
      <c r="B18">
        <v>1442.4906071153</v>
      </c>
      <c r="C18">
        <v>3780.9634845600499</v>
      </c>
    </row>
    <row r="19" spans="1:3" x14ac:dyDescent="0.4">
      <c r="A19">
        <v>18</v>
      </c>
      <c r="B19">
        <v>1419.29379830996</v>
      </c>
      <c r="C19">
        <v>4205.8828119968503</v>
      </c>
    </row>
    <row r="20" spans="1:3" x14ac:dyDescent="0.4">
      <c r="A20">
        <v>19</v>
      </c>
      <c r="B20">
        <v>1475.6374661965001</v>
      </c>
      <c r="C20">
        <v>4084.2110974745001</v>
      </c>
    </row>
    <row r="21" spans="1:3" x14ac:dyDescent="0.4">
      <c r="A21">
        <v>20</v>
      </c>
      <c r="B21">
        <v>1264.0035429750501</v>
      </c>
      <c r="C21">
        <v>4346.8939445874203</v>
      </c>
    </row>
    <row r="22" spans="1:3" x14ac:dyDescent="0.4">
      <c r="A22" t="s">
        <v>12</v>
      </c>
      <c r="B22">
        <v>143.47902226447999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7E859-6BD7-4B69-9B10-B089545ED6E6}">
  <dimension ref="A1:C22"/>
  <sheetViews>
    <sheetView workbookViewId="0">
      <selection activeCell="F11" sqref="F11"/>
    </sheetView>
  </sheetViews>
  <sheetFormatPr defaultRowHeight="14.6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1</v>
      </c>
      <c r="B2">
        <v>7582.17171087521</v>
      </c>
      <c r="C2">
        <v>13675.083807938399</v>
      </c>
    </row>
    <row r="3" spans="1:3" x14ac:dyDescent="0.4">
      <c r="A3">
        <v>2</v>
      </c>
      <c r="B3">
        <v>4977.2838427732804</v>
      </c>
      <c r="C3">
        <v>11587.453685945</v>
      </c>
    </row>
    <row r="4" spans="1:3" x14ac:dyDescent="0.4">
      <c r="A4">
        <v>3</v>
      </c>
      <c r="B4">
        <v>3675.1910505476999</v>
      </c>
      <c r="C4">
        <v>7982.9575713184104</v>
      </c>
    </row>
    <row r="5" spans="1:3" x14ac:dyDescent="0.4">
      <c r="A5">
        <v>4</v>
      </c>
      <c r="B5">
        <v>3386.9977645694898</v>
      </c>
      <c r="C5">
        <v>6996.1470559872596</v>
      </c>
    </row>
    <row r="6" spans="1:3" x14ac:dyDescent="0.4">
      <c r="A6">
        <v>5</v>
      </c>
      <c r="B6">
        <v>3094.7314849761501</v>
      </c>
      <c r="C6">
        <v>6749.0893232416602</v>
      </c>
    </row>
    <row r="7" spans="1:3" x14ac:dyDescent="0.4">
      <c r="A7">
        <v>6</v>
      </c>
      <c r="B7">
        <v>2850.4999128885202</v>
      </c>
      <c r="C7">
        <v>7987.7043096062098</v>
      </c>
    </row>
    <row r="8" spans="1:3" x14ac:dyDescent="0.4">
      <c r="A8">
        <v>7</v>
      </c>
      <c r="B8">
        <v>2601.3797249118202</v>
      </c>
      <c r="C8">
        <v>5754.6856846410401</v>
      </c>
    </row>
    <row r="9" spans="1:3" x14ac:dyDescent="0.4">
      <c r="A9">
        <v>8</v>
      </c>
      <c r="B9">
        <v>2637.74901811158</v>
      </c>
      <c r="C9">
        <v>4956.8432813598201</v>
      </c>
    </row>
    <row r="10" spans="1:3" x14ac:dyDescent="0.4">
      <c r="A10">
        <v>9</v>
      </c>
      <c r="B10">
        <v>2162.99993174986</v>
      </c>
      <c r="C10">
        <v>4909.1127289138403</v>
      </c>
    </row>
    <row r="11" spans="1:3" x14ac:dyDescent="0.4">
      <c r="A11">
        <v>10</v>
      </c>
      <c r="B11">
        <v>2299.6992553573</v>
      </c>
      <c r="C11">
        <v>4721.9668769189802</v>
      </c>
    </row>
    <row r="12" spans="1:3" x14ac:dyDescent="0.4">
      <c r="A12">
        <v>11</v>
      </c>
      <c r="B12">
        <v>2145.9957615282301</v>
      </c>
      <c r="C12">
        <v>5589.7584351340502</v>
      </c>
    </row>
    <row r="13" spans="1:3" x14ac:dyDescent="0.4">
      <c r="A13">
        <v>12</v>
      </c>
      <c r="B13">
        <v>2080.3182708484001</v>
      </c>
      <c r="C13">
        <v>4954.3289106750499</v>
      </c>
    </row>
    <row r="14" spans="1:3" x14ac:dyDescent="0.4">
      <c r="A14">
        <v>13</v>
      </c>
      <c r="B14">
        <v>1936.19125172345</v>
      </c>
      <c r="C14">
        <v>5526.0539415009398</v>
      </c>
    </row>
    <row r="15" spans="1:3" x14ac:dyDescent="0.4">
      <c r="A15">
        <v>14</v>
      </c>
      <c r="B15">
        <v>1966.2159700663899</v>
      </c>
      <c r="C15">
        <v>5172.5555663095001</v>
      </c>
    </row>
    <row r="16" spans="1:3" x14ac:dyDescent="0.4">
      <c r="A16">
        <v>15</v>
      </c>
      <c r="B16">
        <v>1868.6197572595299</v>
      </c>
      <c r="C16">
        <v>4735.7817867457297</v>
      </c>
    </row>
    <row r="17" spans="1:3" x14ac:dyDescent="0.4">
      <c r="A17">
        <v>16</v>
      </c>
      <c r="B17">
        <v>1872.1391372093799</v>
      </c>
      <c r="C17">
        <v>4088.4375121744101</v>
      </c>
    </row>
    <row r="18" spans="1:3" x14ac:dyDescent="0.4">
      <c r="A18">
        <v>17</v>
      </c>
      <c r="B18">
        <v>1832.0837551827899</v>
      </c>
      <c r="C18">
        <v>4342.8728352947101</v>
      </c>
    </row>
    <row r="19" spans="1:3" x14ac:dyDescent="0.4">
      <c r="A19">
        <v>18</v>
      </c>
      <c r="B19">
        <v>1794.0647793414</v>
      </c>
      <c r="C19">
        <v>4135.4064569125903</v>
      </c>
    </row>
    <row r="20" spans="1:3" x14ac:dyDescent="0.4">
      <c r="A20">
        <v>19</v>
      </c>
      <c r="B20">
        <v>1783.68483384668</v>
      </c>
      <c r="C20">
        <v>4357.9555125839497</v>
      </c>
    </row>
    <row r="21" spans="1:3" x14ac:dyDescent="0.4">
      <c r="A21">
        <v>20</v>
      </c>
      <c r="B21">
        <v>1736.8086133229799</v>
      </c>
      <c r="C21">
        <v>4110.0469314993197</v>
      </c>
    </row>
    <row r="22" spans="1:3" x14ac:dyDescent="0.4">
      <c r="A22" t="s">
        <v>12</v>
      </c>
      <c r="B22">
        <v>42.140305280685403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0D77C-32BA-4F07-A0C6-7E98F73177CA}">
  <dimension ref="A1:G21"/>
  <sheetViews>
    <sheetView tabSelected="1" workbookViewId="0">
      <selection activeCell="D1" sqref="D1"/>
    </sheetView>
  </sheetViews>
  <sheetFormatPr defaultRowHeight="14.6" x14ac:dyDescent="0.4"/>
  <sheetData>
    <row r="1" spans="1:7" x14ac:dyDescent="0.4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7" x14ac:dyDescent="0.4">
      <c r="A2">
        <v>1</v>
      </c>
      <c r="B2" s="1">
        <f>'k-means'!B2</f>
        <v>7941.7544881486901</v>
      </c>
      <c r="C2" s="1">
        <f>'p-median_greedy'!B2</f>
        <v>7582.17171087521</v>
      </c>
      <c r="D2" s="1">
        <f>'p-median_SA'!B2</f>
        <v>7582.17171087521</v>
      </c>
      <c r="E2" s="1">
        <f>TABU!B2</f>
        <v>7583.6218703419099</v>
      </c>
      <c r="F2" s="1">
        <f>Genetic!B2</f>
        <v>7593.73358087628</v>
      </c>
      <c r="G2" s="1">
        <f>Particle!B2</f>
        <v>7582.17171087521</v>
      </c>
    </row>
    <row r="3" spans="1:7" x14ac:dyDescent="0.4">
      <c r="A3">
        <v>2</v>
      </c>
      <c r="B3" s="1">
        <f>'k-means'!B3</f>
        <v>5383.3061368777298</v>
      </c>
      <c r="C3" s="1">
        <f>'p-median_greedy'!B3</f>
        <v>4891.5400765428103</v>
      </c>
      <c r="D3" s="1">
        <f>'p-median_SA'!B3</f>
        <v>4891.5400765428103</v>
      </c>
      <c r="E3" s="1">
        <f>TABU!B3</f>
        <v>4924.2680647308598</v>
      </c>
      <c r="F3" s="1">
        <f>Genetic!B3</f>
        <v>4904.8788894788904</v>
      </c>
      <c r="G3" s="1">
        <f>Particle!B3</f>
        <v>4977.2838427732804</v>
      </c>
    </row>
    <row r="4" spans="1:7" x14ac:dyDescent="0.4">
      <c r="A4">
        <v>3</v>
      </c>
      <c r="B4" s="1">
        <f>'k-means'!B4</f>
        <v>3995.6662982847902</v>
      </c>
      <c r="C4" s="1">
        <f>'p-median_greedy'!B4</f>
        <v>3540.8317097448098</v>
      </c>
      <c r="D4" s="1">
        <f>'p-median_SA'!B4</f>
        <v>3540.8317097448098</v>
      </c>
      <c r="E4" s="1">
        <f>TABU!B4</f>
        <v>3628.9981278161099</v>
      </c>
      <c r="F4" s="1">
        <f>Genetic!B4</f>
        <v>3619.84046037707</v>
      </c>
      <c r="G4" s="1">
        <f>Particle!B4</f>
        <v>3675.1910505476999</v>
      </c>
    </row>
    <row r="5" spans="1:7" x14ac:dyDescent="0.4">
      <c r="A5">
        <v>4</v>
      </c>
      <c r="B5" s="1">
        <f>'k-means'!B5</f>
        <v>3704.19230370894</v>
      </c>
      <c r="C5" s="1">
        <f>'p-median_greedy'!B5</f>
        <v>3045.13956254703</v>
      </c>
      <c r="D5" s="1">
        <f>'p-median_SA'!B5</f>
        <v>3045.13956254703</v>
      </c>
      <c r="E5" s="1">
        <f>TABU!B5</f>
        <v>3088.8527953664902</v>
      </c>
      <c r="F5" s="1">
        <f>Genetic!B5</f>
        <v>3061.30948463717</v>
      </c>
      <c r="G5" s="1">
        <f>Particle!B5</f>
        <v>3386.9977645694898</v>
      </c>
    </row>
    <row r="6" spans="1:7" x14ac:dyDescent="0.4">
      <c r="A6">
        <v>5</v>
      </c>
      <c r="B6" s="1">
        <f>'k-means'!B6</f>
        <v>3386.7574485397899</v>
      </c>
      <c r="C6" s="1">
        <f>'p-median_greedy'!B6</f>
        <v>2650.8140738147299</v>
      </c>
      <c r="D6" s="1">
        <f>'p-median_SA'!B6</f>
        <v>2650.8140738147299</v>
      </c>
      <c r="E6" s="1">
        <f>TABU!B6</f>
        <v>2761.2010760654898</v>
      </c>
      <c r="F6" s="1">
        <f>Genetic!B6</f>
        <v>2886.9381484691799</v>
      </c>
      <c r="G6" s="1">
        <f>Particle!B6</f>
        <v>3094.7314849761501</v>
      </c>
    </row>
    <row r="7" spans="1:7" x14ac:dyDescent="0.4">
      <c r="A7">
        <v>6</v>
      </c>
      <c r="B7" s="1">
        <f>'k-means'!B7</f>
        <v>2914.9350422666998</v>
      </c>
      <c r="C7" s="1">
        <f>'p-median_greedy'!B7</f>
        <v>2413.5486946942301</v>
      </c>
      <c r="D7" s="1">
        <f>'p-median_SA'!B7</f>
        <v>2318.98733357334</v>
      </c>
      <c r="E7" s="1">
        <f>TABU!B7</f>
        <v>2449.8953472468802</v>
      </c>
      <c r="F7" s="1">
        <f>Genetic!B7</f>
        <v>2487.0118910926199</v>
      </c>
      <c r="G7" s="1">
        <f>Particle!B7</f>
        <v>2850.4999128885202</v>
      </c>
    </row>
    <row r="8" spans="1:7" x14ac:dyDescent="0.4">
      <c r="A8">
        <v>7</v>
      </c>
      <c r="B8" s="1">
        <f>'k-means'!B8</f>
        <v>2285.3928619559301</v>
      </c>
      <c r="C8" s="1">
        <f>'p-median_greedy'!B8</f>
        <v>2063.0870325624001</v>
      </c>
      <c r="D8" s="1">
        <f>'p-median_SA'!B8</f>
        <v>2063.0870325624001</v>
      </c>
      <c r="E8" s="1">
        <f>TABU!B8</f>
        <v>2197.5953376696698</v>
      </c>
      <c r="F8" s="1">
        <f>Genetic!B8</f>
        <v>2237.5029360833901</v>
      </c>
      <c r="G8" s="1">
        <f>Particle!B8</f>
        <v>2601.3797249118202</v>
      </c>
    </row>
    <row r="9" spans="1:7" x14ac:dyDescent="0.4">
      <c r="A9">
        <v>8</v>
      </c>
      <c r="B9" s="1">
        <f>'k-means'!B9</f>
        <v>2389.1732156190601</v>
      </c>
      <c r="C9" s="1">
        <f>'p-median_greedy'!B9</f>
        <v>1861.0372899318199</v>
      </c>
      <c r="D9" s="1">
        <f>'p-median_SA'!B9</f>
        <v>1861.0372899318199</v>
      </c>
      <c r="E9" s="1">
        <f>TABU!B9</f>
        <v>2037.28261065275</v>
      </c>
      <c r="F9" s="1">
        <f>Genetic!B9</f>
        <v>2143.87843266655</v>
      </c>
      <c r="G9" s="1">
        <f>Particle!B9</f>
        <v>2637.74901811158</v>
      </c>
    </row>
    <row r="10" spans="1:7" x14ac:dyDescent="0.4">
      <c r="A10">
        <v>9</v>
      </c>
      <c r="B10" s="1">
        <f>'k-means'!B10</f>
        <v>2316.61559689047</v>
      </c>
      <c r="C10" s="1">
        <f>'p-median_greedy'!B10</f>
        <v>1651.35794074194</v>
      </c>
      <c r="D10" s="1">
        <f>'p-median_SA'!B10</f>
        <v>1651.35794074194</v>
      </c>
      <c r="E10" s="1">
        <f>TABU!B10</f>
        <v>1831.31488717302</v>
      </c>
      <c r="F10" s="1">
        <f>Genetic!B10</f>
        <v>1952.15305595719</v>
      </c>
      <c r="G10" s="1">
        <f>Particle!B10</f>
        <v>2162.99993174986</v>
      </c>
    </row>
    <row r="11" spans="1:7" x14ac:dyDescent="0.4">
      <c r="A11">
        <v>10</v>
      </c>
      <c r="B11" s="1">
        <f>'k-means'!B11</f>
        <v>1830.8688450350101</v>
      </c>
      <c r="C11" s="1">
        <f>'p-median_greedy'!B11</f>
        <v>1478.03725525862</v>
      </c>
      <c r="D11" s="1">
        <f>'p-median_SA'!B11</f>
        <v>1478.03725525862</v>
      </c>
      <c r="E11" s="1">
        <f>TABU!B11</f>
        <v>1699.4246030818299</v>
      </c>
      <c r="F11" s="1">
        <f>Genetic!B11</f>
        <v>1827.5476034219701</v>
      </c>
      <c r="G11" s="1">
        <f>Particle!B11</f>
        <v>2299.6992553573</v>
      </c>
    </row>
    <row r="12" spans="1:7" x14ac:dyDescent="0.4">
      <c r="A12">
        <v>11</v>
      </c>
      <c r="B12" s="1">
        <f>'k-means'!B12</f>
        <v>1847.4890867066799</v>
      </c>
      <c r="C12" s="1">
        <f>'p-median_greedy'!B12</f>
        <v>1378.68955804297</v>
      </c>
      <c r="D12" s="1">
        <f>'p-median_SA'!B12</f>
        <v>1378.16098846706</v>
      </c>
      <c r="E12" s="1">
        <f>TABU!B12</f>
        <v>1574.40808444147</v>
      </c>
      <c r="F12" s="1">
        <f>Genetic!B12</f>
        <v>1710.5757624033299</v>
      </c>
      <c r="G12" s="1">
        <f>Particle!B12</f>
        <v>2145.9957615282301</v>
      </c>
    </row>
    <row r="13" spans="1:7" x14ac:dyDescent="0.4">
      <c r="A13">
        <v>12</v>
      </c>
      <c r="B13" s="1">
        <f>'k-means'!B13</f>
        <v>1654.7300836545301</v>
      </c>
      <c r="C13" s="1">
        <f>'p-median_greedy'!B13</f>
        <v>1309.1538379664601</v>
      </c>
      <c r="D13" s="1">
        <f>'p-median_SA'!B13</f>
        <v>1291.31349425842</v>
      </c>
      <c r="E13" s="1">
        <f>TABU!B13</f>
        <v>1447.26114647845</v>
      </c>
      <c r="F13" s="1">
        <f>Genetic!B13</f>
        <v>1695.7380368326501</v>
      </c>
      <c r="G13" s="1">
        <f>Particle!B13</f>
        <v>2080.3182708484001</v>
      </c>
    </row>
    <row r="14" spans="1:7" x14ac:dyDescent="0.4">
      <c r="A14">
        <v>13</v>
      </c>
      <c r="B14" s="1">
        <f>'k-means'!B14</f>
        <v>1607.7641987195</v>
      </c>
      <c r="C14" s="1">
        <f>'p-median_greedy'!B14</f>
        <v>1220.4751458057499</v>
      </c>
      <c r="D14" s="1">
        <f>'p-median_SA'!B14</f>
        <v>1220.99190637632</v>
      </c>
      <c r="E14" s="1">
        <f>TABU!B14</f>
        <v>1425.49268859424</v>
      </c>
      <c r="F14" s="1">
        <f>Genetic!B14</f>
        <v>1658.6413331648</v>
      </c>
      <c r="G14" s="1">
        <f>Particle!B14</f>
        <v>1936.19125172345</v>
      </c>
    </row>
    <row r="15" spans="1:7" x14ac:dyDescent="0.4">
      <c r="A15">
        <v>14</v>
      </c>
      <c r="B15" s="1">
        <f>'k-means'!B15</f>
        <v>1663.0949042791599</v>
      </c>
      <c r="C15" s="1">
        <f>'p-median_greedy'!B15</f>
        <v>1150.25285699292</v>
      </c>
      <c r="D15" s="1">
        <f>'p-median_SA'!B15</f>
        <v>1142.6597930698099</v>
      </c>
      <c r="E15" s="1">
        <f>TABU!B15</f>
        <v>1324.54891323997</v>
      </c>
      <c r="F15" s="1">
        <f>Genetic!B15</f>
        <v>1511.1901566981501</v>
      </c>
      <c r="G15" s="1">
        <f>Particle!B15</f>
        <v>1966.2159700663899</v>
      </c>
    </row>
    <row r="16" spans="1:7" x14ac:dyDescent="0.4">
      <c r="A16">
        <v>15</v>
      </c>
      <c r="B16" s="1">
        <f>'k-means'!B16</f>
        <v>1559.7260332220301</v>
      </c>
      <c r="C16" s="1">
        <f>'p-median_greedy'!B16</f>
        <v>1073.1030118638901</v>
      </c>
      <c r="D16" s="1">
        <f>'p-median_SA'!B16</f>
        <v>1091.4120302901199</v>
      </c>
      <c r="E16" s="1">
        <f>TABU!B16</f>
        <v>1292.40641813559</v>
      </c>
      <c r="F16" s="1">
        <f>Genetic!B16</f>
        <v>1529.8230339403401</v>
      </c>
      <c r="G16" s="1">
        <f>Particle!B16</f>
        <v>1868.6197572595299</v>
      </c>
    </row>
    <row r="17" spans="1:7" x14ac:dyDescent="0.4">
      <c r="A17">
        <v>16</v>
      </c>
      <c r="B17" s="1">
        <f>'k-means'!B17</f>
        <v>1524.9545540942199</v>
      </c>
      <c r="C17" s="1">
        <f>'p-median_greedy'!B17</f>
        <v>1018.26748272253</v>
      </c>
      <c r="D17" s="1">
        <f>'p-median_SA'!B17</f>
        <v>1020.45702247183</v>
      </c>
      <c r="E17" s="1">
        <f>TABU!B17</f>
        <v>1203.0350230593599</v>
      </c>
      <c r="F17" s="1">
        <f>Genetic!B17</f>
        <v>1430.10514241127</v>
      </c>
      <c r="G17" s="1">
        <f>Particle!B17</f>
        <v>1872.1391372093799</v>
      </c>
    </row>
    <row r="18" spans="1:7" x14ac:dyDescent="0.4">
      <c r="A18">
        <v>17</v>
      </c>
      <c r="B18" s="1">
        <f>'k-means'!B18</f>
        <v>1484.42740336764</v>
      </c>
      <c r="C18" s="1">
        <f>'p-median_greedy'!B18</f>
        <v>968.37325014933901</v>
      </c>
      <c r="D18" s="1">
        <f>'p-median_SA'!B18</f>
        <v>981.47943857683595</v>
      </c>
      <c r="E18" s="1">
        <f>TABU!B18</f>
        <v>1160.9992634762</v>
      </c>
      <c r="F18" s="1">
        <f>Genetic!B18</f>
        <v>1442.4906071153</v>
      </c>
      <c r="G18" s="1">
        <f>Particle!B18</f>
        <v>1832.0837551827899</v>
      </c>
    </row>
    <row r="19" spans="1:7" x14ac:dyDescent="0.4">
      <c r="A19">
        <v>18</v>
      </c>
      <c r="B19" s="1">
        <f>'k-means'!B19</f>
        <v>1450.11590258301</v>
      </c>
      <c r="C19" s="1">
        <f>'p-median_greedy'!B19</f>
        <v>923.73803381002597</v>
      </c>
      <c r="D19" s="1">
        <f>'p-median_SA'!B19</f>
        <v>923.84863467012497</v>
      </c>
      <c r="E19" s="1">
        <f>TABU!B19</f>
        <v>1101.72840109715</v>
      </c>
      <c r="F19" s="1">
        <f>Genetic!B19</f>
        <v>1419.29379830996</v>
      </c>
      <c r="G19" s="1">
        <f>Particle!B19</f>
        <v>1794.0647793414</v>
      </c>
    </row>
    <row r="20" spans="1:7" x14ac:dyDescent="0.4">
      <c r="A20">
        <v>19</v>
      </c>
      <c r="B20" s="1">
        <f>'k-means'!B20</f>
        <v>1345.8396004460501</v>
      </c>
      <c r="C20" s="1">
        <f>'p-median_greedy'!B20</f>
        <v>877.92336120385596</v>
      </c>
      <c r="D20" s="1">
        <f>'p-median_SA'!B20</f>
        <v>878.83129505440604</v>
      </c>
      <c r="E20" s="1">
        <f>TABU!B20</f>
        <v>1090.0416740047399</v>
      </c>
      <c r="F20" s="1">
        <f>Genetic!B20</f>
        <v>1475.6374661965001</v>
      </c>
      <c r="G20" s="1">
        <f>Particle!B20</f>
        <v>1783.68483384668</v>
      </c>
    </row>
    <row r="21" spans="1:7" x14ac:dyDescent="0.4">
      <c r="A21">
        <v>20</v>
      </c>
      <c r="B21" s="1">
        <f>'k-means'!B21</f>
        <v>1284.6544807110299</v>
      </c>
      <c r="C21" s="1">
        <f>'p-median_greedy'!B21</f>
        <v>835.15703334429497</v>
      </c>
      <c r="D21" s="1">
        <f>'p-median_SA'!B21</f>
        <v>831.63200541142203</v>
      </c>
      <c r="E21" s="1">
        <f>TABU!B21</f>
        <v>1054.6599689105699</v>
      </c>
      <c r="F21" s="1">
        <f>Genetic!B21</f>
        <v>1264.0035429750501</v>
      </c>
      <c r="G21" s="1">
        <f>Particle!B21</f>
        <v>1736.8086133229799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A90D9-0A7D-462B-B610-F989ADE03A06}">
  <dimension ref="A1:G21"/>
  <sheetViews>
    <sheetView workbookViewId="0">
      <selection activeCell="G1" sqref="A1:G1"/>
    </sheetView>
  </sheetViews>
  <sheetFormatPr defaultRowHeight="14.6" x14ac:dyDescent="0.4"/>
  <sheetData>
    <row r="1" spans="1:7" x14ac:dyDescent="0.4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7" x14ac:dyDescent="0.4">
      <c r="A2">
        <v>1</v>
      </c>
      <c r="B2" s="1">
        <f>'k-means'!C2</f>
        <v>14936.661534959299</v>
      </c>
      <c r="C2" s="1">
        <f>'p-median_greedy'!C2</f>
        <v>13675.083807938399</v>
      </c>
      <c r="D2" s="1">
        <f>'p-median_SA'!C2</f>
        <v>13675.083807938399</v>
      </c>
      <c r="E2" s="1">
        <f>TABU!C2</f>
        <v>13592.6971977473</v>
      </c>
      <c r="F2" s="1">
        <f>Genetic!C2</f>
        <v>13707.167454411099</v>
      </c>
      <c r="G2" s="1">
        <f>Particle!C2</f>
        <v>13675.083807938399</v>
      </c>
    </row>
    <row r="3" spans="1:7" x14ac:dyDescent="0.4">
      <c r="A3">
        <v>2</v>
      </c>
      <c r="B3" s="1">
        <f>'k-means'!C3</f>
        <v>12177.8948389343</v>
      </c>
      <c r="C3" s="1">
        <f>'p-median_greedy'!C3</f>
        <v>11416.844274876399</v>
      </c>
      <c r="D3" s="1">
        <f>'p-median_SA'!C3</f>
        <v>11416.844274876399</v>
      </c>
      <c r="E3" s="1">
        <f>TABU!C3</f>
        <v>11381.799979400301</v>
      </c>
      <c r="F3" s="1">
        <f>Genetic!C3</f>
        <v>11205.402023589801</v>
      </c>
      <c r="G3" s="1">
        <f>Particle!C3</f>
        <v>11587.453685945</v>
      </c>
    </row>
    <row r="4" spans="1:7" x14ac:dyDescent="0.4">
      <c r="A4">
        <v>3</v>
      </c>
      <c r="B4" s="1">
        <f>'k-means'!C4</f>
        <v>8154.8769636489296</v>
      </c>
      <c r="C4" s="1">
        <f>'p-median_greedy'!C4</f>
        <v>8534.9949353604097</v>
      </c>
      <c r="D4" s="1">
        <f>'p-median_SA'!C4</f>
        <v>8534.9949353604097</v>
      </c>
      <c r="E4" s="1">
        <f>TABU!C4</f>
        <v>8554.8124416596693</v>
      </c>
      <c r="F4" s="1">
        <f>Genetic!C4</f>
        <v>8155.31034144349</v>
      </c>
      <c r="G4" s="1">
        <f>Particle!C4</f>
        <v>7982.9575713184104</v>
      </c>
    </row>
    <row r="5" spans="1:7" x14ac:dyDescent="0.4">
      <c r="A5">
        <v>4</v>
      </c>
      <c r="B5" s="1">
        <f>'k-means'!C5</f>
        <v>8943.9469313492791</v>
      </c>
      <c r="C5" s="1">
        <f>'p-median_greedy'!C5</f>
        <v>6446.1921108955003</v>
      </c>
      <c r="D5" s="1">
        <f>'p-median_SA'!C5</f>
        <v>6446.1921108955003</v>
      </c>
      <c r="E5" s="1">
        <f>TABU!C5</f>
        <v>7148.7817838565397</v>
      </c>
      <c r="F5" s="1">
        <f>Genetic!C5</f>
        <v>7154.8120080413701</v>
      </c>
      <c r="G5" s="1">
        <f>Particle!C5</f>
        <v>6996.1470559872596</v>
      </c>
    </row>
    <row r="6" spans="1:7" x14ac:dyDescent="0.4">
      <c r="A6">
        <v>5</v>
      </c>
      <c r="B6" s="1">
        <f>'k-means'!C6</f>
        <v>8943.9469313492791</v>
      </c>
      <c r="C6" s="1">
        <f>'p-median_greedy'!C6</f>
        <v>6749.0893232416602</v>
      </c>
      <c r="D6" s="1">
        <f>'p-median_SA'!C6</f>
        <v>6749.0893232416602</v>
      </c>
      <c r="E6" s="1">
        <f>TABU!C6</f>
        <v>7151.2205494617301</v>
      </c>
      <c r="F6" s="1">
        <f>Genetic!C6</f>
        <v>7297.9709013596403</v>
      </c>
      <c r="G6" s="1">
        <f>Particle!C6</f>
        <v>6749.0893232416602</v>
      </c>
    </row>
    <row r="7" spans="1:7" x14ac:dyDescent="0.4">
      <c r="A7">
        <v>6</v>
      </c>
      <c r="B7" s="1">
        <f>'k-means'!C7</f>
        <v>6190.6379439434804</v>
      </c>
      <c r="C7" s="1">
        <f>'p-median_greedy'!C7</f>
        <v>6137.0668304447399</v>
      </c>
      <c r="D7" s="1">
        <f>'p-median_SA'!C7</f>
        <v>6749.0893232416602</v>
      </c>
      <c r="E7" s="1">
        <f>TABU!C7</f>
        <v>6545.1795432169502</v>
      </c>
      <c r="F7" s="1">
        <f>Genetic!C7</f>
        <v>6455.2749863583304</v>
      </c>
      <c r="G7" s="1">
        <f>Particle!C7</f>
        <v>7987.7043096062098</v>
      </c>
    </row>
    <row r="8" spans="1:7" x14ac:dyDescent="0.4">
      <c r="A8">
        <v>7</v>
      </c>
      <c r="B8" s="1">
        <f>'k-means'!C8</f>
        <v>5286.5282223934</v>
      </c>
      <c r="C8" s="1">
        <f>'p-median_greedy'!C8</f>
        <v>6444.9492284364196</v>
      </c>
      <c r="D8" s="1">
        <f>'p-median_SA'!C8</f>
        <v>6444.9492284364196</v>
      </c>
      <c r="E8" s="1">
        <f>TABU!C8</f>
        <v>6460.8774358173596</v>
      </c>
      <c r="F8" s="1">
        <f>Genetic!C8</f>
        <v>6573.8005933382101</v>
      </c>
      <c r="G8" s="1">
        <f>Particle!C8</f>
        <v>5754.6856846410401</v>
      </c>
    </row>
    <row r="9" spans="1:7" x14ac:dyDescent="0.4">
      <c r="A9">
        <v>8</v>
      </c>
      <c r="B9" s="1">
        <f>'k-means'!C9</f>
        <v>5496.1254749671898</v>
      </c>
      <c r="C9" s="1">
        <f>'p-median_greedy'!C9</f>
        <v>4135.2677232059896</v>
      </c>
      <c r="D9" s="1">
        <f>'p-median_SA'!C9</f>
        <v>4135.2677232059896</v>
      </c>
      <c r="E9" s="1">
        <f>TABU!C9</f>
        <v>6637.0719108697403</v>
      </c>
      <c r="F9" s="1">
        <f>Genetic!C9</f>
        <v>6002.34654697519</v>
      </c>
      <c r="G9" s="1">
        <f>Particle!C9</f>
        <v>4956.8432813598201</v>
      </c>
    </row>
    <row r="10" spans="1:7" x14ac:dyDescent="0.4">
      <c r="A10">
        <v>9</v>
      </c>
      <c r="B10" s="1">
        <f>'k-means'!C10</f>
        <v>5496.1254749671898</v>
      </c>
      <c r="C10" s="1">
        <f>'p-median_greedy'!C10</f>
        <v>4135.2677232059896</v>
      </c>
      <c r="D10" s="1">
        <f>'p-median_SA'!C10</f>
        <v>4135.2677232059896</v>
      </c>
      <c r="E10" s="1">
        <f>TABU!C10</f>
        <v>4338.23434032556</v>
      </c>
      <c r="F10" s="1">
        <f>Genetic!C10</f>
        <v>6716.8323838140795</v>
      </c>
      <c r="G10" s="1">
        <f>Particle!C10</f>
        <v>4909.1127289138403</v>
      </c>
    </row>
    <row r="11" spans="1:7" x14ac:dyDescent="0.4">
      <c r="A11">
        <v>10</v>
      </c>
      <c r="B11" s="1">
        <f>'k-means'!C11</f>
        <v>4178.9334433432005</v>
      </c>
      <c r="C11" s="1">
        <f>'p-median_greedy'!C11</f>
        <v>4135.2677232059896</v>
      </c>
      <c r="D11" s="1">
        <f>'p-median_SA'!C11</f>
        <v>4135.2677232059896</v>
      </c>
      <c r="E11" s="1">
        <f>TABU!C11</f>
        <v>4500.5352645766297</v>
      </c>
      <c r="F11" s="1">
        <f>Genetic!C11</f>
        <v>5065.6862023226904</v>
      </c>
      <c r="G11" s="1">
        <f>Particle!C11</f>
        <v>4721.9668769189802</v>
      </c>
    </row>
    <row r="12" spans="1:7" x14ac:dyDescent="0.4">
      <c r="A12">
        <v>11</v>
      </c>
      <c r="B12" s="1">
        <f>'k-means'!C12</f>
        <v>4392.4458961048604</v>
      </c>
      <c r="C12" s="1">
        <f>'p-median_greedy'!C12</f>
        <v>4135.2677232059896</v>
      </c>
      <c r="D12" s="1">
        <f>'p-median_SA'!C12</f>
        <v>4135.2677232059896</v>
      </c>
      <c r="E12" s="1">
        <f>TABU!C12</f>
        <v>4036.7380656180299</v>
      </c>
      <c r="F12" s="1">
        <f>Genetic!C12</f>
        <v>4084.7513580485302</v>
      </c>
      <c r="G12" s="1">
        <f>Particle!C12</f>
        <v>5589.7584351340502</v>
      </c>
    </row>
    <row r="13" spans="1:7" x14ac:dyDescent="0.4">
      <c r="A13">
        <v>12</v>
      </c>
      <c r="B13" s="1">
        <f>'k-means'!C13</f>
        <v>4392.4458961048604</v>
      </c>
      <c r="C13" s="1">
        <f>'p-median_greedy'!C13</f>
        <v>4135.2677232059896</v>
      </c>
      <c r="D13" s="1">
        <f>'p-median_SA'!C13</f>
        <v>4135.2677232059896</v>
      </c>
      <c r="E13" s="1">
        <f>TABU!C13</f>
        <v>4249.3416152159998</v>
      </c>
      <c r="F13" s="1">
        <f>Genetic!C13</f>
        <v>4947.61270716944</v>
      </c>
      <c r="G13" s="1">
        <f>Particle!C13</f>
        <v>4954.3289106750499</v>
      </c>
    </row>
    <row r="14" spans="1:7" x14ac:dyDescent="0.4">
      <c r="A14">
        <v>13</v>
      </c>
      <c r="B14" s="1">
        <f>'k-means'!C14</f>
        <v>4392.4458961048604</v>
      </c>
      <c r="C14" s="1">
        <f>'p-median_greedy'!C14</f>
        <v>4135.2677232059896</v>
      </c>
      <c r="D14" s="1">
        <f>'p-median_SA'!C14</f>
        <v>4154.1771837428196</v>
      </c>
      <c r="E14" s="1">
        <f>TABU!C14</f>
        <v>4347.8979129933095</v>
      </c>
      <c r="F14" s="1">
        <f>Genetic!C14</f>
        <v>5608.6152242356902</v>
      </c>
      <c r="G14" s="1">
        <f>Particle!C14</f>
        <v>5526.0539415009398</v>
      </c>
    </row>
    <row r="15" spans="1:7" x14ac:dyDescent="0.4">
      <c r="A15">
        <v>14</v>
      </c>
      <c r="B15" s="1">
        <f>'k-means'!C15</f>
        <v>4530.4685718823603</v>
      </c>
      <c r="C15" s="1">
        <f>'p-median_greedy'!C15</f>
        <v>4135.2677232059896</v>
      </c>
      <c r="D15" s="1">
        <f>'p-median_SA'!C15</f>
        <v>4135.2677232059896</v>
      </c>
      <c r="E15" s="1">
        <f>TABU!C15</f>
        <v>3997.77288858769</v>
      </c>
      <c r="F15" s="1">
        <f>Genetic!C15</f>
        <v>4556.2618044928504</v>
      </c>
      <c r="G15" s="1">
        <f>Particle!C15</f>
        <v>5172.5555663095001</v>
      </c>
    </row>
    <row r="16" spans="1:7" x14ac:dyDescent="0.4">
      <c r="A16">
        <v>15</v>
      </c>
      <c r="B16" s="1">
        <f>'k-means'!C16</f>
        <v>4530.4685718823603</v>
      </c>
      <c r="C16" s="1">
        <f>'p-median_greedy'!C16</f>
        <v>4135.2677232059896</v>
      </c>
      <c r="D16" s="1">
        <f>'p-median_SA'!C16</f>
        <v>4135.2677232059896</v>
      </c>
      <c r="E16" s="1">
        <f>TABU!C16</f>
        <v>4044.7143879036798</v>
      </c>
      <c r="F16" s="1">
        <f>Genetic!C16</f>
        <v>4143.5522083048199</v>
      </c>
      <c r="G16" s="1">
        <f>Particle!C16</f>
        <v>4735.7817867457297</v>
      </c>
    </row>
    <row r="17" spans="1:7" x14ac:dyDescent="0.4">
      <c r="A17">
        <v>16</v>
      </c>
      <c r="B17" s="1">
        <f>'k-means'!C17</f>
        <v>4530.4685718823603</v>
      </c>
      <c r="C17" s="1">
        <f>'p-median_greedy'!C17</f>
        <v>4135.2677232059896</v>
      </c>
      <c r="D17" s="1">
        <f>'p-median_SA'!C17</f>
        <v>4154.1771837428196</v>
      </c>
      <c r="E17" s="1">
        <f>TABU!C17</f>
        <v>4043.1652154767398</v>
      </c>
      <c r="F17" s="1">
        <f>Genetic!C17</f>
        <v>3642.47257205298</v>
      </c>
      <c r="G17" s="1">
        <f>Particle!C17</f>
        <v>4088.4375121744101</v>
      </c>
    </row>
    <row r="18" spans="1:7" x14ac:dyDescent="0.4">
      <c r="A18">
        <v>17</v>
      </c>
      <c r="B18" s="1">
        <f>'k-means'!C18</f>
        <v>4530.4685718823603</v>
      </c>
      <c r="C18" s="1">
        <f>'p-median_greedy'!C18</f>
        <v>4135.2677232059896</v>
      </c>
      <c r="D18" s="1">
        <f>'p-median_SA'!C18</f>
        <v>4135.2677232059896</v>
      </c>
      <c r="E18" s="1">
        <f>TABU!C18</f>
        <v>3658.42864959489</v>
      </c>
      <c r="F18" s="1">
        <f>Genetic!C18</f>
        <v>3780.9634845600499</v>
      </c>
      <c r="G18" s="1">
        <f>Particle!C18</f>
        <v>4342.8728352947101</v>
      </c>
    </row>
    <row r="19" spans="1:7" x14ac:dyDescent="0.4">
      <c r="A19">
        <v>18</v>
      </c>
      <c r="B19" s="1">
        <f>'k-means'!C19</f>
        <v>4530.4685718823603</v>
      </c>
      <c r="C19" s="1">
        <f>'p-median_greedy'!C19</f>
        <v>4135.2677232059896</v>
      </c>
      <c r="D19" s="1">
        <f>'p-median_SA'!C19</f>
        <v>4135.2677232059896</v>
      </c>
      <c r="E19" s="1">
        <f>TABU!C19</f>
        <v>4714.8808518961196</v>
      </c>
      <c r="F19" s="1">
        <f>Genetic!C19</f>
        <v>4205.8828119968503</v>
      </c>
      <c r="G19" s="1">
        <f>Particle!C19</f>
        <v>4135.4064569125903</v>
      </c>
    </row>
    <row r="20" spans="1:7" x14ac:dyDescent="0.4">
      <c r="A20">
        <v>19</v>
      </c>
      <c r="B20" s="1">
        <f>'k-means'!C20</f>
        <v>4530.4685718823603</v>
      </c>
      <c r="C20" s="1">
        <f>'p-median_greedy'!C20</f>
        <v>3928.7763286395002</v>
      </c>
      <c r="D20" s="1">
        <f>'p-median_SA'!C20</f>
        <v>4135.2677232059896</v>
      </c>
      <c r="E20" s="1">
        <f>TABU!C20</f>
        <v>3849.8003325946001</v>
      </c>
      <c r="F20" s="1">
        <f>Genetic!C20</f>
        <v>4084.2110974745001</v>
      </c>
      <c r="G20" s="1">
        <f>Particle!C20</f>
        <v>4357.9555125839497</v>
      </c>
    </row>
    <row r="21" spans="1:7" x14ac:dyDescent="0.4">
      <c r="A21">
        <v>20</v>
      </c>
      <c r="B21" s="1">
        <f>'k-means'!C21</f>
        <v>4530.4685718823603</v>
      </c>
      <c r="C21" s="1">
        <f>'p-median_greedy'!C21</f>
        <v>3928.7763286395002</v>
      </c>
      <c r="D21" s="1">
        <f>'p-median_SA'!C21</f>
        <v>3928.7763286395002</v>
      </c>
      <c r="E21" s="1">
        <f>TABU!C21</f>
        <v>3944.9365522672902</v>
      </c>
      <c r="F21" s="1">
        <f>Genetic!C21</f>
        <v>4346.8939445874203</v>
      </c>
      <c r="G21" s="1">
        <f>Particle!C21</f>
        <v>4110.0469314993197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83AF7-B12E-4070-B129-3697A9BCAA54}">
  <dimension ref="A1:G3"/>
  <sheetViews>
    <sheetView workbookViewId="0">
      <selection activeCell="D9" sqref="D9"/>
    </sheetView>
  </sheetViews>
  <sheetFormatPr defaultRowHeight="14.6" x14ac:dyDescent="0.4"/>
  <cols>
    <col min="2" max="8" width="16.84375" customWidth="1"/>
  </cols>
  <sheetData>
    <row r="1" spans="1:7" x14ac:dyDescent="0.4"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7" x14ac:dyDescent="0.4">
      <c r="A2" t="s">
        <v>13</v>
      </c>
      <c r="B2" s="1">
        <f>'k-means'!B22</f>
        <v>110.452228307724</v>
      </c>
      <c r="C2" s="1">
        <f>'p-median_greedy'!B22</f>
        <v>6522.6309087276404</v>
      </c>
      <c r="D2" s="1">
        <f>'p-median_SA'!B22</f>
        <v>11173.5327336788</v>
      </c>
      <c r="E2" s="1">
        <f>TABU!B22</f>
        <v>89.620505809783893</v>
      </c>
      <c r="F2" s="1">
        <f>Genetic!B22</f>
        <v>143.47902226447999</v>
      </c>
      <c r="G2" s="1">
        <f>Particle!B22</f>
        <v>42.140305280685403</v>
      </c>
    </row>
    <row r="3" spans="1:7" x14ac:dyDescent="0.4">
      <c r="A3" t="s">
        <v>14</v>
      </c>
      <c r="C3" s="2">
        <f>C2/3600</f>
        <v>1.8118419190910113</v>
      </c>
      <c r="D3" s="2">
        <f>D2/3600</f>
        <v>3.1037590926885557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p-median_greedy</vt:lpstr>
      <vt:lpstr>p-median_SA</vt:lpstr>
      <vt:lpstr>k-means</vt:lpstr>
      <vt:lpstr>TABU</vt:lpstr>
      <vt:lpstr>Genetic</vt:lpstr>
      <vt:lpstr>Particle</vt:lpstr>
      <vt:lpstr>Average distance</vt:lpstr>
      <vt:lpstr>Max distance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Churchman</dc:creator>
  <cp:lastModifiedBy>Phil Churchman</cp:lastModifiedBy>
  <dcterms:created xsi:type="dcterms:W3CDTF">2026-01-19T09:55:19Z</dcterms:created>
  <dcterms:modified xsi:type="dcterms:W3CDTF">2026-01-19T22:01:39Z</dcterms:modified>
</cp:coreProperties>
</file>