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hnsm120_leeds_ac_uk/Documents/Moving Impact/Model/utilities/"/>
    </mc:Choice>
  </mc:AlternateContent>
  <xr:revisionPtr revIDLastSave="5" documentId="8_{D13A3AFC-5432-4F30-AF3C-2D0936554E4E}" xr6:coauthVersionLast="47" xr6:coauthVersionMax="47" xr10:uidLastSave="{38A86B54-38C1-4019-9BA1-51FB876A86D3}"/>
  <bookViews>
    <workbookView xWindow="-108" yWindow="-108" windowWidth="23256" windowHeight="13896" xr2:uid="{00000000-000D-0000-FFFF-FFFF00000000}"/>
  </bookViews>
  <sheets>
    <sheet name="Assumptions" sheetId="1" r:id="rId1"/>
    <sheet name="Monthly_Calculations" sheetId="2" r:id="rId2"/>
    <sheet name="Summar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4" i="2"/>
  <c r="B2" i="2"/>
  <c r="B3" i="2" s="1"/>
  <c r="B4" i="3" l="1"/>
  <c r="B5" i="2"/>
  <c r="B8" i="2" l="1"/>
  <c r="B3" i="3"/>
  <c r="B9" i="2" l="1"/>
  <c r="B2" i="3" s="1"/>
  <c r="B5" i="3"/>
</calcChain>
</file>

<file path=xl/sharedStrings.xml><?xml version="1.0" encoding="utf-8"?>
<sst xmlns="http://schemas.openxmlformats.org/spreadsheetml/2006/main" count="44" uniqueCount="44">
  <si>
    <t>INPUTS – EV 3-WHEELER TAXI</t>
  </si>
  <si>
    <t>Vehicle Purchase Price</t>
  </si>
  <si>
    <t>Loan Interest Rate (annual)</t>
  </si>
  <si>
    <t>Loan Term (months)</t>
  </si>
  <si>
    <t>Driver Daily Revenue</t>
  </si>
  <si>
    <t>Operating Days per Month</t>
  </si>
  <si>
    <t>Battery Subscription per Month</t>
  </si>
  <si>
    <t>Insurance per Month</t>
  </si>
  <si>
    <t>Maintenance per Month</t>
  </si>
  <si>
    <t>Other Operating Costs per Month</t>
  </si>
  <si>
    <t>Equity Contribution (%)</t>
  </si>
  <si>
    <t>CALCULATIONS</t>
  </si>
  <si>
    <t>Equity Amount</t>
  </si>
  <si>
    <t>Loan Amount</t>
  </si>
  <si>
    <t>Monthly Interest Rate</t>
  </si>
  <si>
    <t>Monthly Loan Payment</t>
  </si>
  <si>
    <t>Monthly Revenue</t>
  </si>
  <si>
    <t>Total Monthly Operating Cost</t>
  </si>
  <si>
    <t>Total Monthly Costs incl Loan</t>
  </si>
  <si>
    <t>Monthly Net Cash Flow</t>
  </si>
  <si>
    <t>SUMMARY METRICS</t>
  </si>
  <si>
    <t>Annual Net Cash Flow</t>
  </si>
  <si>
    <t>Total Loan Payments Over Term</t>
  </si>
  <si>
    <t>Total Revenue Over Loan Term</t>
  </si>
  <si>
    <t>Break Even Revenue per Day</t>
  </si>
  <si>
    <t>1️⃣ Assumptions Sheet</t>
  </si>
  <si>
    <t>Vehicle price</t>
  </si>
  <si>
    <t>Loan rate &amp; term</t>
  </si>
  <si>
    <t>Daily revenue &amp; operating days</t>
  </si>
  <si>
    <t>Battery subscription cost</t>
  </si>
  <si>
    <t>Insurance, maintenance, other OPEX</t>
  </si>
  <si>
    <t>Equity contribution %</t>
  </si>
  <si>
    <t>2️⃣ Monthly Calculations</t>
  </si>
  <si>
    <t>Equity &amp; loan amount</t>
  </si>
  <si>
    <t>Monthly loan payment (PMT formula)</t>
  </si>
  <si>
    <t>Monthly revenue</t>
  </si>
  <si>
    <t>Operating costs</t>
  </si>
  <si>
    <t>Net cash flow</t>
  </si>
  <si>
    <t>3️⃣ Summary Metrics</t>
  </si>
  <si>
    <t>Annual net cash flow</t>
  </si>
  <si>
    <t>Total loan payments</t>
  </si>
  <si>
    <t>Total revenue over loan term</t>
  </si>
  <si>
    <t>Break-even daily revenue</t>
  </si>
  <si>
    <t>Up front amount paid by owner /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</si>
</sst>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7" sqref="E7"/>
    </sheetView>
  </sheetViews>
  <sheetFormatPr defaultRowHeight="14.4" x14ac:dyDescent="0.3"/>
  <cols>
    <col min="1" max="1" width="40" customWidth="1"/>
    <col min="2" max="2" width="25" customWidth="1"/>
    <col min="3" max="3" width="14.5546875" customWidth="1"/>
  </cols>
  <sheetData>
    <row r="1" spans="1:3" x14ac:dyDescent="0.3">
      <c r="A1" s="1" t="s">
        <v>0</v>
      </c>
    </row>
    <row r="2" spans="1:3" x14ac:dyDescent="0.3">
      <c r="A2" t="s">
        <v>1</v>
      </c>
      <c r="B2">
        <v>6000</v>
      </c>
    </row>
    <row r="3" spans="1:3" x14ac:dyDescent="0.3">
      <c r="A3" t="s">
        <v>2</v>
      </c>
      <c r="B3">
        <v>0.18</v>
      </c>
    </row>
    <row r="4" spans="1:3" x14ac:dyDescent="0.3">
      <c r="A4" t="s">
        <v>3</v>
      </c>
      <c r="B4">
        <v>36</v>
      </c>
    </row>
    <row r="5" spans="1:3" x14ac:dyDescent="0.3">
      <c r="A5" t="s">
        <v>4</v>
      </c>
      <c r="B5">
        <v>35</v>
      </c>
    </row>
    <row r="6" spans="1:3" x14ac:dyDescent="0.3">
      <c r="A6" t="s">
        <v>5</v>
      </c>
      <c r="B6">
        <v>26</v>
      </c>
    </row>
    <row r="7" spans="1:3" x14ac:dyDescent="0.3">
      <c r="A7" t="s">
        <v>6</v>
      </c>
      <c r="B7">
        <v>250</v>
      </c>
    </row>
    <row r="8" spans="1:3" x14ac:dyDescent="0.3">
      <c r="A8" t="s">
        <v>7</v>
      </c>
      <c r="B8">
        <v>40</v>
      </c>
    </row>
    <row r="9" spans="1:3" x14ac:dyDescent="0.3">
      <c r="A9" t="s">
        <v>8</v>
      </c>
      <c r="B9">
        <v>100</v>
      </c>
    </row>
    <row r="10" spans="1:3" x14ac:dyDescent="0.3">
      <c r="A10" t="s">
        <v>9</v>
      </c>
      <c r="B10">
        <v>120</v>
      </c>
    </row>
    <row r="11" spans="1:3" x14ac:dyDescent="0.3">
      <c r="A11" t="s">
        <v>10</v>
      </c>
      <c r="B11">
        <v>0.15</v>
      </c>
      <c r="C11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6" sqref="B6"/>
    </sheetView>
  </sheetViews>
  <sheetFormatPr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11</v>
      </c>
    </row>
    <row r="2" spans="1:2" x14ac:dyDescent="0.3">
      <c r="A2" t="s">
        <v>12</v>
      </c>
      <c r="B2">
        <f>Assumptions!B2*Assumptions!B11</f>
        <v>900</v>
      </c>
    </row>
    <row r="3" spans="1:2" x14ac:dyDescent="0.3">
      <c r="A3" t="s">
        <v>13</v>
      </c>
      <c r="B3">
        <f>Assumptions!B2-B2</f>
        <v>5100</v>
      </c>
    </row>
    <row r="4" spans="1:2" x14ac:dyDescent="0.3">
      <c r="A4" t="s">
        <v>14</v>
      </c>
      <c r="B4">
        <f>Assumptions!B3/12</f>
        <v>1.4999999999999999E-2</v>
      </c>
    </row>
    <row r="5" spans="1:2" x14ac:dyDescent="0.3">
      <c r="A5" t="s">
        <v>15</v>
      </c>
      <c r="B5">
        <f>PMT(B4,Assumptions!B4,-B3)</f>
        <v>184.37721723317586</v>
      </c>
    </row>
    <row r="6" spans="1:2" x14ac:dyDescent="0.3">
      <c r="A6" t="s">
        <v>16</v>
      </c>
      <c r="B6">
        <f>Assumptions!B5*Assumptions!B6</f>
        <v>910</v>
      </c>
    </row>
    <row r="7" spans="1:2" x14ac:dyDescent="0.3">
      <c r="A7" t="s">
        <v>17</v>
      </c>
      <c r="B7">
        <f>Assumptions!B7+Assumptions!B8+Assumptions!B9+Assumptions!B10</f>
        <v>510</v>
      </c>
    </row>
    <row r="8" spans="1:2" x14ac:dyDescent="0.3">
      <c r="A8" t="s">
        <v>18</v>
      </c>
      <c r="B8">
        <f>B5+B7</f>
        <v>694.37721723317588</v>
      </c>
    </row>
    <row r="9" spans="1:2" x14ac:dyDescent="0.3">
      <c r="A9" t="s">
        <v>19</v>
      </c>
      <c r="B9">
        <f>B6-B8</f>
        <v>215.62278276682412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8" sqref="C8"/>
    </sheetView>
  </sheetViews>
  <sheetFormatPr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20</v>
      </c>
    </row>
    <row r="2" spans="1:2" x14ac:dyDescent="0.3">
      <c r="A2" t="s">
        <v>21</v>
      </c>
      <c r="B2">
        <f>Monthly_Calculations!B9*12</f>
        <v>2587.4733932018894</v>
      </c>
    </row>
    <row r="3" spans="1:2" x14ac:dyDescent="0.3">
      <c r="A3" t="s">
        <v>22</v>
      </c>
      <c r="B3">
        <f>Monthly_Calculations!B5*Assumptions!B4</f>
        <v>6637.5798203943305</v>
      </c>
    </row>
    <row r="4" spans="1:2" x14ac:dyDescent="0.3">
      <c r="A4" t="s">
        <v>23</v>
      </c>
      <c r="B4">
        <f>Monthly_Calculations!B6*Assumptions!B4</f>
        <v>32760</v>
      </c>
    </row>
    <row r="5" spans="1:2" x14ac:dyDescent="0.3">
      <c r="A5" t="s">
        <v>24</v>
      </c>
      <c r="B5">
        <f>(Monthly_Calculations!B8/Assumptions!B6)</f>
        <v>26.706816047429843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FF87-2845-4E0D-ABFA-2616B27763B7}">
  <dimension ref="A1:A35"/>
  <sheetViews>
    <sheetView topLeftCell="A3" workbookViewId="0">
      <selection sqref="A1:A35"/>
    </sheetView>
  </sheetViews>
  <sheetFormatPr defaultRowHeight="14.4" x14ac:dyDescent="0.3"/>
  <sheetData>
    <row r="1" spans="1:1" x14ac:dyDescent="0.3">
      <c r="A1" s="2" t="s">
        <v>25</v>
      </c>
    </row>
    <row r="2" spans="1:1" x14ac:dyDescent="0.3">
      <c r="A2" s="3"/>
    </row>
    <row r="3" spans="1:1" x14ac:dyDescent="0.3">
      <c r="A3" s="3" t="s">
        <v>26</v>
      </c>
    </row>
    <row r="4" spans="1:1" x14ac:dyDescent="0.3">
      <c r="A4" s="3"/>
    </row>
    <row r="5" spans="1:1" x14ac:dyDescent="0.3">
      <c r="A5" s="3" t="s">
        <v>27</v>
      </c>
    </row>
    <row r="6" spans="1:1" x14ac:dyDescent="0.3">
      <c r="A6" s="3"/>
    </row>
    <row r="7" spans="1:1" x14ac:dyDescent="0.3">
      <c r="A7" s="3" t="s">
        <v>28</v>
      </c>
    </row>
    <row r="8" spans="1:1" x14ac:dyDescent="0.3">
      <c r="A8" s="3"/>
    </row>
    <row r="9" spans="1:1" x14ac:dyDescent="0.3">
      <c r="A9" s="3" t="s">
        <v>29</v>
      </c>
    </row>
    <row r="10" spans="1:1" x14ac:dyDescent="0.3">
      <c r="A10" s="3"/>
    </row>
    <row r="11" spans="1:1" x14ac:dyDescent="0.3">
      <c r="A11" s="3" t="s">
        <v>30</v>
      </c>
    </row>
    <row r="12" spans="1:1" x14ac:dyDescent="0.3">
      <c r="A12" s="3"/>
    </row>
    <row r="13" spans="1:1" x14ac:dyDescent="0.3">
      <c r="A13" s="3" t="s">
        <v>31</v>
      </c>
    </row>
    <row r="15" spans="1:1" x14ac:dyDescent="0.3">
      <c r="A15" s="2" t="s">
        <v>32</v>
      </c>
    </row>
    <row r="16" spans="1:1" x14ac:dyDescent="0.3">
      <c r="A16" s="3"/>
    </row>
    <row r="17" spans="1:1" x14ac:dyDescent="0.3">
      <c r="A17" s="3" t="s">
        <v>33</v>
      </c>
    </row>
    <row r="18" spans="1:1" x14ac:dyDescent="0.3">
      <c r="A18" s="3"/>
    </row>
    <row r="19" spans="1:1" x14ac:dyDescent="0.3">
      <c r="A19" s="3" t="s">
        <v>34</v>
      </c>
    </row>
    <row r="20" spans="1:1" x14ac:dyDescent="0.3">
      <c r="A20" s="3"/>
    </row>
    <row r="21" spans="1:1" x14ac:dyDescent="0.3">
      <c r="A21" s="3" t="s">
        <v>35</v>
      </c>
    </row>
    <row r="22" spans="1:1" x14ac:dyDescent="0.3">
      <c r="A22" s="3"/>
    </row>
    <row r="23" spans="1:1" x14ac:dyDescent="0.3">
      <c r="A23" s="3" t="s">
        <v>36</v>
      </c>
    </row>
    <row r="24" spans="1:1" x14ac:dyDescent="0.3">
      <c r="A24" s="3"/>
    </row>
    <row r="25" spans="1:1" x14ac:dyDescent="0.3">
      <c r="A25" s="3" t="s">
        <v>37</v>
      </c>
    </row>
    <row r="27" spans="1:1" x14ac:dyDescent="0.3">
      <c r="A27" s="2" t="s">
        <v>38</v>
      </c>
    </row>
    <row r="28" spans="1:1" x14ac:dyDescent="0.3">
      <c r="A28" s="3"/>
    </row>
    <row r="29" spans="1:1" x14ac:dyDescent="0.3">
      <c r="A29" s="3" t="s">
        <v>39</v>
      </c>
    </row>
    <row r="30" spans="1:1" x14ac:dyDescent="0.3">
      <c r="A30" s="3"/>
    </row>
    <row r="31" spans="1:1" x14ac:dyDescent="0.3">
      <c r="A31" s="3" t="s">
        <v>40</v>
      </c>
    </row>
    <row r="32" spans="1:1" x14ac:dyDescent="0.3">
      <c r="A32" s="3"/>
    </row>
    <row r="33" spans="1:1" x14ac:dyDescent="0.3">
      <c r="A33" s="3" t="s">
        <v>41</v>
      </c>
    </row>
    <row r="34" spans="1:1" x14ac:dyDescent="0.3">
      <c r="A34" s="3"/>
    </row>
    <row r="35" spans="1:1" x14ac:dyDescent="0.3">
      <c r="A35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Monthly_Calculations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Churchman</cp:lastModifiedBy>
  <dcterms:created xsi:type="dcterms:W3CDTF">2026-02-20T07:27:51Z</dcterms:created>
  <dcterms:modified xsi:type="dcterms:W3CDTF">2026-02-20T08:15:56Z</dcterms:modified>
</cp:coreProperties>
</file>